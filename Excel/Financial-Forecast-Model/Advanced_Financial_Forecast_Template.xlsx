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Advanced_Financial_Forecast_Template\"/>
    </mc:Choice>
  </mc:AlternateContent>
  <xr:revisionPtr revIDLastSave="0" documentId="13_ncr:1_{D5D14531-6867-4138-921C-9C72E81DDDCA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Historical_Data" sheetId="1" r:id="rId1"/>
    <sheet name="Assumptions" sheetId="2" r:id="rId2"/>
    <sheet name="Scenario_Control" sheetId="3" r:id="rId3"/>
    <sheet name="Forecast_Model" sheetId="4" r:id="rId4"/>
    <sheet name="Dashboard" sheetId="5" r:id="rId5"/>
    <sheet name="Documentation" sheetId="6" r:id="rId6"/>
  </sheets>
  <definedNames>
    <definedName name="_xlchart.v2.0" hidden="1">Forecast_Model!$D$4:$D$15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4" l="1"/>
  <c r="E8" i="4"/>
  <c r="E9" i="4" s="1"/>
  <c r="E10" i="4" s="1"/>
  <c r="E11" i="4" s="1"/>
  <c r="E12" i="4" s="1"/>
  <c r="E13" i="4" s="1"/>
  <c r="E14" i="4" s="1"/>
  <c r="E15" i="4" s="1"/>
  <c r="D7" i="4"/>
  <c r="D8" i="4"/>
  <c r="D9" i="4"/>
  <c r="D10" i="4"/>
  <c r="D11" i="4"/>
  <c r="D12" i="4"/>
  <c r="D13" i="4"/>
  <c r="D14" i="4"/>
  <c r="D15" i="4"/>
  <c r="C7" i="4"/>
  <c r="C8" i="4"/>
  <c r="C9" i="4" s="1"/>
  <c r="C10" i="4" s="1"/>
  <c r="C11" i="4" s="1"/>
  <c r="C12" i="4" s="1"/>
  <c r="C13" i="4" s="1"/>
  <c r="C14" i="4" s="1"/>
  <c r="C15" i="4" s="1"/>
  <c r="B7" i="4"/>
  <c r="B8" i="4"/>
  <c r="B9" i="4" s="1"/>
  <c r="B10" i="4" s="1"/>
  <c r="B11" i="4" s="1"/>
  <c r="B12" i="4" s="1"/>
  <c r="B13" i="4" s="1"/>
  <c r="B14" i="4" s="1"/>
  <c r="B15" i="4" s="1"/>
  <c r="E6" i="4"/>
  <c r="D6" i="4"/>
  <c r="C6" i="4"/>
  <c r="B6" i="4"/>
  <c r="E5" i="4"/>
  <c r="D5" i="4"/>
  <c r="C5" i="4"/>
  <c r="B5" i="4"/>
  <c r="E4" i="4" a="1"/>
  <c r="E4" i="4" s="1"/>
  <c r="D4" i="4"/>
  <c r="C4" i="4" a="1"/>
  <c r="C4" i="4" s="1"/>
  <c r="B4" i="4" a="1"/>
  <c r="B4" i="4" s="1"/>
  <c r="A6" i="4"/>
  <c r="A7" i="4"/>
  <c r="A8" i="4" s="1"/>
  <c r="A9" i="4" s="1"/>
  <c r="A10" i="4" s="1"/>
  <c r="A11" i="4" s="1"/>
  <c r="A12" i="4" s="1"/>
  <c r="A13" i="4" s="1"/>
  <c r="A14" i="4" s="1"/>
  <c r="A15" i="4" s="1"/>
  <c r="A5" i="4"/>
  <c r="A4" i="4" a="1"/>
  <c r="A4" i="4" s="1"/>
  <c r="B8" i="5"/>
  <c r="F5" i="4"/>
  <c r="F6" i="4"/>
  <c r="F7" i="4"/>
  <c r="F8" i="4"/>
  <c r="F9" i="4"/>
  <c r="F10" i="4"/>
  <c r="F11" i="4"/>
  <c r="F12" i="4"/>
  <c r="F13" i="4"/>
  <c r="F14" i="4"/>
  <c r="F15" i="4"/>
  <c r="F4" i="4"/>
  <c r="B11" i="3"/>
  <c r="B12" i="3"/>
  <c r="B10" i="3"/>
  <c r="E6" i="1"/>
  <c r="E7" i="1"/>
  <c r="E8" i="1" s="1"/>
  <c r="E9" i="1" s="1"/>
  <c r="E10" i="1" s="1"/>
  <c r="E11" i="1" s="1"/>
  <c r="E12" i="1" s="1"/>
  <c r="E13" i="1" s="1"/>
  <c r="E14" i="1" s="1"/>
  <c r="E15" i="1" s="1"/>
  <c r="E5" i="1"/>
  <c r="D5" i="1"/>
  <c r="D6" i="1"/>
  <c r="D7" i="1"/>
  <c r="D8" i="1"/>
  <c r="D9" i="1"/>
  <c r="D10" i="1"/>
  <c r="D11" i="1"/>
  <c r="D12" i="1"/>
  <c r="D13" i="1"/>
  <c r="D14" i="1"/>
  <c r="D15" i="1"/>
  <c r="D4" i="1"/>
  <c r="B6" i="5" l="1"/>
  <c r="B7" i="5" l="1"/>
  <c r="B5" i="5"/>
  <c r="B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<sst xmlns="http://schemas.openxmlformats.org/spreadsheetml/2006/main" count="62" uniqueCount="53">
  <si>
    <t>Historical Data (enter 12+ months)</t>
  </si>
  <si>
    <t>Month (e.g., 2024-01)</t>
  </si>
  <si>
    <t>Revenue (£)</t>
  </si>
  <si>
    <t>Expenses (£)</t>
  </si>
  <si>
    <t>Net Profit (£)</t>
  </si>
  <si>
    <t>Cash Balance (£)</t>
  </si>
  <si>
    <t>Assumptions (edit values)</t>
  </si>
  <si>
    <t>Assumption</t>
  </si>
  <si>
    <t>Base Case</t>
  </si>
  <si>
    <t>Best Case</t>
  </si>
  <si>
    <t>Worst Case</t>
  </si>
  <si>
    <t>Notes</t>
  </si>
  <si>
    <t>Revenue Growth % (MoM)</t>
  </si>
  <si>
    <t>Monthly growth rate applied to last month revenue</t>
  </si>
  <si>
    <t>Expense Growth % (MoM)</t>
  </si>
  <si>
    <t>Monthly growth rate applied to last month expenses</t>
  </si>
  <si>
    <t>One-off Cost (£) (once in forecast)</t>
  </si>
  <si>
    <t>Applied in first forecast month only</t>
  </si>
  <si>
    <t>Scenario Control</t>
  </si>
  <si>
    <t>Scenario Selector</t>
  </si>
  <si>
    <t>Forecast Months</t>
  </si>
  <si>
    <t>Choose scenario in B3. Assumptions sheet drives growth rates and one-off cost.</t>
  </si>
  <si>
    <t>Forecast Model (build here)</t>
  </si>
  <si>
    <t>Month</t>
  </si>
  <si>
    <t>Scenario Used</t>
  </si>
  <si>
    <t>Dashboard (build charts &amp; KPI cards here)</t>
  </si>
  <si>
    <t>Suggested KPIs</t>
  </si>
  <si>
    <t>Total Forecast Revenue</t>
  </si>
  <si>
    <t>Total Forecast Expenses</t>
  </si>
  <si>
    <t>End-of-Year Cash Balance</t>
  </si>
  <si>
    <t>Lowest Cash Balance (Risk)</t>
  </si>
  <si>
    <t>Scenario Selected</t>
  </si>
  <si>
    <t>Documentation</t>
  </si>
  <si>
    <t>1) Purpose</t>
  </si>
  <si>
    <t>2) Inputs</t>
  </si>
  <si>
    <t>3) Method</t>
  </si>
  <si>
    <t>4) Scenarios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</si>
  <si>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</si>
  <si>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</si>
  <si>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</si>
  <si>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</si>
  <si>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</si>
  <si>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</si>
  <si>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</si>
  <si>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</si>
  <si>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</si>
  <si>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</si>
  <si>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</si>
  <si>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</si>
  <si>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This Model forcast revenue, expenses, profit and cash balance for next 12 months</t>
  </si>
  <si>
    <t>Historical Data of 12 months, Assumtions scenario of the best, woest cases, forecast model how the data change when apply the scenario.</t>
  </si>
  <si>
    <t>We have three cases base, where we have normal growth, best, wehre we have high revenue and low expesnses, and last the woest, where we have low revenue and high expenses.</t>
  </si>
  <si>
    <t>Changing the scenario as exxplain in method, we changing the forcast model and see how after changing the scenario the model get affected.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</si>
</sst>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yyyy\-mm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color rgb="FFFFFFFF"/>
      <name val="Calibri"/>
    </font>
    <font>
      <b/>
      <sz val="12"/>
      <color rgb="FF404040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vertical="center"/>
    </xf>
    <xf numFmtId="9" fontId="0" fillId="0" borderId="1" xfId="1" applyFon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9" fontId="0" fillId="0" borderId="0" xfId="1" applyFont="1"/>
    <xf numFmtId="3" fontId="0" fillId="0" borderId="1" xfId="0" applyNumberFormat="1" applyBorder="1"/>
    <xf numFmtId="164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Forecast_Model!$B$4:$B$15</c:f>
              <c:numCache>
                <c:formatCode>#,##0</c:formatCode>
                <c:ptCount val="12"/>
                <c:pt idx="0">
                  <c:v>50000</c:v>
                </c:pt>
                <c:pt idx="1">
                  <c:v>52500</c:v>
                </c:pt>
                <c:pt idx="2">
                  <c:v>55125</c:v>
                </c:pt>
                <c:pt idx="3">
                  <c:v>57881.25</c:v>
                </c:pt>
                <c:pt idx="4">
                  <c:v>60775.3125</c:v>
                </c:pt>
                <c:pt idx="5">
                  <c:v>63814.078125</c:v>
                </c:pt>
                <c:pt idx="6">
                  <c:v>67004.782031249997</c:v>
                </c:pt>
                <c:pt idx="7">
                  <c:v>70355.021132812501</c:v>
                </c:pt>
                <c:pt idx="8">
                  <c:v>73872.772189453128</c:v>
                </c:pt>
                <c:pt idx="9">
                  <c:v>77566.41079892579</c:v>
                </c:pt>
                <c:pt idx="10">
                  <c:v>81444.73133887208</c:v>
                </c:pt>
                <c:pt idx="11">
                  <c:v>85516.967905815691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C-48C5-9330-FE8BA2D60D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90"/>
        <c:axId val="2053057296"/>
        <c:axId val="2053061616"/>
      </c:barChart>
      <c:catAx>
        <c:axId val="205305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61616"/>
        <c:crosses val="autoZero"/>
        <c:auto val="1"/>
        <c:lblAlgn val="ctr"/>
        <c:lblOffset val="100"/>
        <c:noMultiLvlLbl val="0"/>
      </c:catAx>
      <c:valAx>
        <c:axId val="205306161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05305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Forecast_Model!$C$4:$C$15</c:f>
              <c:numCache>
                <c:formatCode>#,##0</c:formatCode>
                <c:ptCount val="12"/>
                <c:pt idx="0">
                  <c:v>34506</c:v>
                </c:pt>
                <c:pt idx="1">
                  <c:v>35541.18</c:v>
                </c:pt>
                <c:pt idx="2">
                  <c:v>36607.415399999998</c:v>
                </c:pt>
                <c:pt idx="3">
                  <c:v>37705.637861999996</c:v>
                </c:pt>
                <c:pt idx="4">
                  <c:v>38836.806997859996</c:v>
                </c:pt>
                <c:pt idx="5">
                  <c:v>40001.911207795798</c:v>
                </c:pt>
                <c:pt idx="6">
                  <c:v>41201.968544029674</c:v>
                </c:pt>
                <c:pt idx="7">
                  <c:v>42438.027600350564</c:v>
                </c:pt>
                <c:pt idx="8">
                  <c:v>43711.168428361081</c:v>
                </c:pt>
                <c:pt idx="9">
                  <c:v>45022.503481211912</c:v>
                </c:pt>
                <c:pt idx="10">
                  <c:v>46373.178585648267</c:v>
                </c:pt>
                <c:pt idx="11">
                  <c:v>47764.373943217717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5D-45A8-AE62-05DB29CC3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076496"/>
        <c:axId val="2053100496"/>
      </c:scatterChart>
      <c:valAx>
        <c:axId val="205307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00496"/>
        <c:crosses val="autoZero"/>
        <c:crossBetween val="midCat"/>
      </c:valAx>
      <c:valAx>
        <c:axId val="205310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7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Cash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Forecast_Model!$E$4:$E$15</c:f>
              <c:numCache>
                <c:formatCode>#,##0</c:formatCode>
                <c:ptCount val="12"/>
                <c:pt idx="0">
                  <c:v>154703</c:v>
                </c:pt>
                <c:pt idx="1">
                  <c:v>171661.82</c:v>
                </c:pt>
                <c:pt idx="2">
                  <c:v>190179.40460000001</c:v>
                </c:pt>
                <c:pt idx="3">
                  <c:v>210355.01673800001</c:v>
                </c:pt>
                <c:pt idx="4">
                  <c:v>232293.52224014001</c:v>
                </c:pt>
                <c:pt idx="5">
                  <c:v>256105.68915734423</c:v>
                </c:pt>
                <c:pt idx="6">
                  <c:v>281908.50264456455</c:v>
                </c:pt>
                <c:pt idx="7">
                  <c:v>309825.49617702648</c:v>
                </c:pt>
                <c:pt idx="8">
                  <c:v>339987.09993811854</c:v>
                </c:pt>
                <c:pt idx="9">
                  <c:v>372531.00725583243</c:v>
                </c:pt>
                <c:pt idx="10">
                  <c:v>407602.56000905624</c:v>
                </c:pt>
                <c:pt idx="11">
                  <c:v>445355.15397165419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5-4374-8019-FE7304F71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70240"/>
        <c:axId val="84772640"/>
      </c:lineChart>
      <c:catAx>
        <c:axId val="8477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2640"/>
        <c:crosses val="autoZero"/>
        <c:auto val="1"/>
        <c:lblAlgn val="ctr"/>
        <c:lblOffset val="100"/>
        <c:noMultiLvlLbl val="0"/>
      </c:catAx>
      <c:valAx>
        <c:axId val="847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_xlchart.v2.0</cx:f>
      </cx:numDim>
    </cx:data>
  </cx:chartData>
  <cx:chart>
    <cx:title pos="t" align="ctr" overlay="0">
      <cx:tx>
        <cx:txData>
          <cx:v>NET PROFIT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NET PROFIT</a:t>
          </a:r>
        </a:p>
      </cx:txPr>
    </cx:title>
    <cx:plotArea>
      <cx:plotAreaRegion>
        <cx:series layoutId="funnel" uniqueId="{5F31B1D0-423A-476E-A9F6-B1E9E83867C8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200024</xdr:rowOff>
    </xdr:from>
    <xdr:to>
      <xdr:col>9</xdr:col>
      <xdr:colOff>114300</xdr:colOff>
      <xdr:row>14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CB8284-1F00-4681-9C29-7D56BAD67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9525</xdr:rowOff>
    </xdr:from>
    <xdr:to>
      <xdr:col>15</xdr:col>
      <xdr:colOff>200025</xdr:colOff>
      <xdr:row>14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7A4D7D-D527-46BF-A654-5DB1D8D85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600074</xdr:colOff>
      <xdr:row>14</xdr:row>
      <xdr:rowOff>152399</xdr:rowOff>
    </xdr:from>
    <xdr:to>
      <xdr:col>9</xdr:col>
      <xdr:colOff>390525</xdr:colOff>
      <xdr:row>27</xdr:row>
      <xdr:rowOff>47624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1FF218A-9973-465E-8964-A720DC9FF1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3874" y="2905124"/>
              <a:ext cx="4057651" cy="2371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552450</xdr:colOff>
      <xdr:row>15</xdr:row>
      <xdr:rowOff>0</xdr:rowOff>
    </xdr:from>
    <xdr:to>
      <xdr:col>15</xdr:col>
      <xdr:colOff>85725</xdr:colOff>
      <xdr:row>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815380-4E02-4FAE-89A7-50E3073A9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pane ySplit="3" topLeftCell="A4" activePane="bottomLeft" state="frozen"/>
      <selection pane="bottomLeft" activeCell="A4" sqref="A4:A15"/>
    </sheetView>
  </sheetViews>
  <sheetFormatPr defaultRowHeight="15" x14ac:dyDescent="0.25"/>
  <cols>
    <col min="1" max="1" width="18" customWidth="1"/>
    <col min="2" max="2" width="15" customWidth="1"/>
    <col min="3" max="3" width="16" customWidth="1"/>
    <col min="4" max="4" width="18" customWidth="1"/>
    <col min="5" max="5" width="20" customWidth="1"/>
  </cols>
  <sheetData>
    <row r="1" spans="1:5" ht="21" x14ac:dyDescent="0.35">
      <c r="A1" s="1" t="s">
        <v>0</v>
      </c>
    </row>
    <row r="3" spans="1:5" ht="3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13" t="s">
        <v>37</v>
      </c>
      <c r="B4" s="8">
        <v>25690</v>
      </c>
      <c r="C4" s="8">
        <v>17500</v>
      </c>
      <c r="D4" s="8">
        <f>B4-C4</f>
        <v>8190</v>
      </c>
      <c r="E4" s="8">
        <v>8190</v>
      </c>
    </row>
    <row r="5" spans="1:5" x14ac:dyDescent="0.25">
      <c r="A5" s="13" t="s">
        <v>38</v>
      </c>
      <c r="B5" s="8">
        <v>28000</v>
      </c>
      <c r="C5" s="8">
        <v>19560</v>
      </c>
      <c r="D5" s="8">
        <f t="shared" ref="D5:D15" si="0">B5-C5</f>
        <v>8440</v>
      </c>
      <c r="E5" s="8">
        <f>E4+D5</f>
        <v>16630</v>
      </c>
    </row>
    <row r="6" spans="1:5" x14ac:dyDescent="0.25">
      <c r="A6" s="13" t="s">
        <v>39</v>
      </c>
      <c r="B6" s="8">
        <v>32000</v>
      </c>
      <c r="C6" s="8">
        <v>21560</v>
      </c>
      <c r="D6" s="8">
        <f t="shared" si="0"/>
        <v>10440</v>
      </c>
      <c r="E6" s="8">
        <f t="shared" ref="E6:E15" si="1">E5+D6</f>
        <v>27070</v>
      </c>
    </row>
    <row r="7" spans="1:5" x14ac:dyDescent="0.25">
      <c r="A7" s="13" t="s">
        <v>40</v>
      </c>
      <c r="B7" s="8">
        <v>35000</v>
      </c>
      <c r="C7" s="8">
        <v>22000</v>
      </c>
      <c r="D7" s="8">
        <f t="shared" si="0"/>
        <v>13000</v>
      </c>
      <c r="E7" s="8">
        <f t="shared" si="1"/>
        <v>40070</v>
      </c>
    </row>
    <row r="8" spans="1:5" x14ac:dyDescent="0.25">
      <c r="A8" s="13" t="s">
        <v>41</v>
      </c>
      <c r="B8" s="8">
        <v>36989</v>
      </c>
      <c r="C8" s="8">
        <v>23000</v>
      </c>
      <c r="D8" s="8">
        <f t="shared" si="0"/>
        <v>13989</v>
      </c>
      <c r="E8" s="8">
        <f t="shared" si="1"/>
        <v>54059</v>
      </c>
    </row>
    <row r="9" spans="1:5" x14ac:dyDescent="0.25">
      <c r="A9" s="13" t="s">
        <v>42</v>
      </c>
      <c r="B9" s="8">
        <v>39000</v>
      </c>
      <c r="C9" s="8">
        <v>25060</v>
      </c>
      <c r="D9" s="8">
        <f t="shared" si="0"/>
        <v>13940</v>
      </c>
      <c r="E9" s="8">
        <f t="shared" si="1"/>
        <v>67999</v>
      </c>
    </row>
    <row r="10" spans="1:5" x14ac:dyDescent="0.25">
      <c r="A10" s="13" t="s">
        <v>43</v>
      </c>
      <c r="B10" s="8">
        <v>40254</v>
      </c>
      <c r="C10" s="8">
        <v>28000</v>
      </c>
      <c r="D10" s="8">
        <f t="shared" si="0"/>
        <v>12254</v>
      </c>
      <c r="E10" s="8">
        <f t="shared" si="1"/>
        <v>80253</v>
      </c>
    </row>
    <row r="11" spans="1:5" x14ac:dyDescent="0.25">
      <c r="A11" s="13" t="s">
        <v>44</v>
      </c>
      <c r="B11" s="8">
        <v>42100</v>
      </c>
      <c r="C11" s="8">
        <v>29000</v>
      </c>
      <c r="D11" s="8">
        <f t="shared" si="0"/>
        <v>13100</v>
      </c>
      <c r="E11" s="8">
        <f t="shared" si="1"/>
        <v>93353</v>
      </c>
    </row>
    <row r="12" spans="1:5" x14ac:dyDescent="0.25">
      <c r="A12" s="13" t="s">
        <v>45</v>
      </c>
      <c r="B12" s="8">
        <v>45000</v>
      </c>
      <c r="C12" s="8">
        <v>30500</v>
      </c>
      <c r="D12" s="8">
        <f t="shared" si="0"/>
        <v>14500</v>
      </c>
      <c r="E12" s="8">
        <f t="shared" si="1"/>
        <v>107853</v>
      </c>
    </row>
    <row r="13" spans="1:5" x14ac:dyDescent="0.25">
      <c r="A13" s="13" t="s">
        <v>46</v>
      </c>
      <c r="B13" s="8">
        <v>47856</v>
      </c>
      <c r="C13" s="8">
        <v>32000</v>
      </c>
      <c r="D13" s="8">
        <f t="shared" si="0"/>
        <v>15856</v>
      </c>
      <c r="E13" s="8">
        <f t="shared" si="1"/>
        <v>123709</v>
      </c>
    </row>
    <row r="14" spans="1:5" x14ac:dyDescent="0.25">
      <c r="A14" s="13" t="s">
        <v>47</v>
      </c>
      <c r="B14" s="8">
        <v>49000</v>
      </c>
      <c r="C14" s="8">
        <v>33500</v>
      </c>
      <c r="D14" s="8">
        <f t="shared" si="0"/>
        <v>15500</v>
      </c>
      <c r="E14" s="8">
        <f t="shared" si="1"/>
        <v>139209</v>
      </c>
    </row>
    <row r="15" spans="1:5" x14ac:dyDescent="0.25">
      <c r="A15" s="13" t="s">
        <v>48</v>
      </c>
      <c r="B15" s="8">
        <v>50000</v>
      </c>
      <c r="C15" s="8">
        <v>34506</v>
      </c>
      <c r="D15" s="8">
        <f t="shared" si="0"/>
        <v>15494</v>
      </c>
      <c r="E15" s="8">
        <f t="shared" si="1"/>
        <v>154703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3" topLeftCell="A4" activePane="bottomLeft" state="frozen"/>
      <selection pane="bottomLeft" activeCell="D6" sqref="D6"/>
    </sheetView>
  </sheetViews>
  <sheetFormatPr defaultRowHeight="15" x14ac:dyDescent="0.25"/>
  <cols>
    <col min="1" max="1" width="30" customWidth="1"/>
    <col min="2" max="4" width="14" customWidth="1"/>
    <col min="5" max="5" width="45" customWidth="1"/>
  </cols>
  <sheetData>
    <row r="1" spans="1:5" ht="21" x14ac:dyDescent="0.35">
      <c r="A1" s="1" t="s">
        <v>6</v>
      </c>
    </row>
    <row r="3" spans="1:5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30" x14ac:dyDescent="0.25">
      <c r="A4" s="4" t="s">
        <v>12</v>
      </c>
      <c r="B4" s="9">
        <v>0.05</v>
      </c>
      <c r="C4" s="9">
        <v>0.08</v>
      </c>
      <c r="D4" s="9">
        <v>0.02</v>
      </c>
      <c r="E4" s="4" t="s">
        <v>13</v>
      </c>
    </row>
    <row r="5" spans="1:5" ht="30" x14ac:dyDescent="0.25">
      <c r="A5" s="4" t="s">
        <v>14</v>
      </c>
      <c r="B5" s="9">
        <v>0.03</v>
      </c>
      <c r="C5" s="9">
        <v>0.02</v>
      </c>
      <c r="D5" s="9">
        <v>0.06</v>
      </c>
      <c r="E5" s="4" t="s">
        <v>15</v>
      </c>
    </row>
    <row r="6" spans="1:5" ht="30" x14ac:dyDescent="0.25">
      <c r="A6" s="4" t="s">
        <v>16</v>
      </c>
      <c r="B6" s="4">
        <v>0</v>
      </c>
      <c r="C6" s="4">
        <v>0</v>
      </c>
      <c r="D6" s="10">
        <v>5000</v>
      </c>
      <c r="E6" s="4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3" sqref="B3"/>
    </sheetView>
  </sheetViews>
  <sheetFormatPr defaultRowHeight="15" x14ac:dyDescent="0.25"/>
  <cols>
    <col min="1" max="1" width="60" customWidth="1"/>
    <col min="2" max="2" width="20" customWidth="1"/>
  </cols>
  <sheetData>
    <row r="1" spans="1:2" ht="21" x14ac:dyDescent="0.35">
      <c r="A1" s="1" t="s">
        <v>18</v>
      </c>
    </row>
    <row r="3" spans="1:2" ht="15.75" x14ac:dyDescent="0.25">
      <c r="A3" s="5" t="s">
        <v>19</v>
      </c>
      <c r="B3" s="6" t="s">
        <v>8</v>
      </c>
    </row>
    <row r="5" spans="1:2" ht="15.75" x14ac:dyDescent="0.25">
      <c r="A5" s="5" t="s">
        <v>20</v>
      </c>
      <c r="B5" s="6">
        <v>12</v>
      </c>
    </row>
    <row r="7" spans="1:2" ht="15.75" x14ac:dyDescent="0.25">
      <c r="A7" s="5" t="s">
        <v>11</v>
      </c>
    </row>
    <row r="8" spans="1:2" x14ac:dyDescent="0.25">
      <c r="A8" t="s">
        <v>21</v>
      </c>
    </row>
    <row r="10" spans="1:2" x14ac:dyDescent="0.25">
      <c r="A10" s="4" t="s">
        <v>12</v>
      </c>
      <c r="B10" s="11">
        <f>CHOOSE(MATCH(Scenario_Control!$B$3,Assumptions!$B$3:$D$3,0),Assumptions!B4,Assumptions!C4,Assumptions!D4)</f>
        <v>0.05</v>
      </c>
    </row>
    <row r="11" spans="1:2" x14ac:dyDescent="0.25">
      <c r="A11" s="4" t="s">
        <v>14</v>
      </c>
      <c r="B11" s="11">
        <f>CHOOSE(MATCH(Scenario_Control!$B$3,Assumptions!$B$3:$D$3,0),Assumptions!B5,Assumptions!C5,Assumptions!D5)</f>
        <v>0.03</v>
      </c>
    </row>
    <row r="12" spans="1:2" x14ac:dyDescent="0.25">
      <c r="A12" s="4" t="s">
        <v>16</v>
      </c>
      <c r="B12">
        <f>CHOOSE(MATCH(Scenario_Control!$B$3,Assumptions!$B$3:$D$3,0),Assumptions!B6,Assumptions!C6,Assumptions!D6)</f>
        <v>0</v>
      </c>
    </row>
  </sheetData>
  <dataValidations count="1">
    <dataValidation type="list" sqref="B3" xr:uid="{00000000-0002-0000-0200-000000000000}">
      <formula1>"Base Case,Best Case,Worst Case"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tabSelected="1" workbookViewId="0">
      <pane ySplit="3" topLeftCell="A4" activePane="bottomLeft" state="frozen"/>
      <selection pane="bottomLeft" activeCell="E6" sqref="E6:E15"/>
    </sheetView>
  </sheetViews>
  <sheetFormatPr defaultRowHeight="15" x14ac:dyDescent="0.25"/>
  <cols>
    <col min="1" max="1" width="16" customWidth="1"/>
    <col min="2" max="2" width="15" customWidth="1"/>
    <col min="3" max="3" width="16" customWidth="1"/>
    <col min="4" max="4" width="18" customWidth="1"/>
    <col min="5" max="5" width="20" customWidth="1"/>
    <col min="6" max="6" width="17" customWidth="1"/>
  </cols>
  <sheetData>
    <row r="1" spans="1:6" ht="21" x14ac:dyDescent="0.35">
      <c r="A1" s="1" t="s">
        <v>22</v>
      </c>
    </row>
    <row r="3" spans="1:6" x14ac:dyDescent="0.25">
      <c r="A3" s="2" t="s">
        <v>23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24</v>
      </c>
    </row>
    <row r="4" spans="1:6" x14ac:dyDescent="0.25">
      <c r="A4" s="14" cm="1">
        <f t="array" ref="A4">DATEVALUE(LOOKUP(2,1/(Historical_Data!A:A&lt;&gt;""),Historical_Data!A:A)&amp;"-01")</f>
        <v>45627</v>
      </c>
      <c r="B4" s="8" cm="1">
        <f t="array" ref="B4">LOOKUP(2,1/(Historical_Data!B:B&lt;&gt;""),Historical_Data!B:B)</f>
        <v>50000</v>
      </c>
      <c r="C4" s="8" cm="1">
        <f t="array" ref="C4">LOOKUP(2,1/(Historical_Data!C:C&lt;&gt;""),Historical_Data!C:C)</f>
        <v>34506</v>
      </c>
      <c r="D4" s="8">
        <f>B4-C4</f>
        <v>15494</v>
      </c>
      <c r="E4" s="8" cm="1">
        <f t="array" ref="E4">LOOKUP(2,1/(Historical_Data!E:E&lt;&gt;""),Historical_Data!E:E)</f>
        <v>154703</v>
      </c>
      <c r="F4" s="3" t="str">
        <f>Scenario_Control!$B$3</f>
        <v>Base Case</v>
      </c>
    </row>
    <row r="5" spans="1:6" x14ac:dyDescent="0.25">
      <c r="A5" s="14">
        <f>EDATE(A4,1)</f>
        <v>45658</v>
      </c>
      <c r="B5" s="8">
        <f>B4*(1+Scenario_Control!B10)</f>
        <v>52500</v>
      </c>
      <c r="C5" s="8">
        <f>C4*(Scenario_Control!B11+1)+Scenario_Control!B12</f>
        <v>35541.18</v>
      </c>
      <c r="D5" s="8">
        <f>B5-C5</f>
        <v>16958.82</v>
      </c>
      <c r="E5" s="8">
        <f>E4+D5</f>
        <v>171661.82</v>
      </c>
      <c r="F5" s="3" t="str">
        <f>Scenario_Control!$B$3</f>
        <v>Base Case</v>
      </c>
    </row>
    <row r="6" spans="1:6" x14ac:dyDescent="0.25">
      <c r="A6" s="14">
        <f t="shared" ref="A6:A15" si="0">EDATE(A5,1)</f>
        <v>45689</v>
      </c>
      <c r="B6" s="8">
        <f>B5*(1+Scenario_Control!$B$10)</f>
        <v>55125</v>
      </c>
      <c r="C6" s="8">
        <f>C5*(1+Scenario_Control!$B$11)+Scenario_Control!$B$12</f>
        <v>36607.415399999998</v>
      </c>
      <c r="D6" s="8">
        <f>B6-C6</f>
        <v>18517.584600000002</v>
      </c>
      <c r="E6" s="8">
        <f>E5+D6</f>
        <v>190179.40460000001</v>
      </c>
      <c r="F6" s="3" t="str">
        <f>Scenario_Control!$B$3</f>
        <v>Base Case</v>
      </c>
    </row>
    <row r="7" spans="1:6" x14ac:dyDescent="0.25">
      <c r="A7" s="14">
        <f t="shared" si="0"/>
        <v>45717</v>
      </c>
      <c r="B7" s="8">
        <f>B6*(1+Scenario_Control!$B$10)</f>
        <v>57881.25</v>
      </c>
      <c r="C7" s="8">
        <f>C6*(1+Scenario_Control!$B$11)+Scenario_Control!$B$12</f>
        <v>37705.637861999996</v>
      </c>
      <c r="D7" s="8">
        <f t="shared" ref="D7:D15" si="1">B7-C7</f>
        <v>20175.612138000004</v>
      </c>
      <c r="E7" s="8">
        <f t="shared" ref="E7:E15" si="2">E6+D7</f>
        <v>210355.01673800001</v>
      </c>
      <c r="F7" s="3" t="str">
        <f>Scenario_Control!$B$3</f>
        <v>Base Case</v>
      </c>
    </row>
    <row r="8" spans="1:6" x14ac:dyDescent="0.25">
      <c r="A8" s="14">
        <f t="shared" si="0"/>
        <v>45748</v>
      </c>
      <c r="B8" s="8">
        <f>B7*(1+Scenario_Control!$B$10)</f>
        <v>60775.3125</v>
      </c>
      <c r="C8" s="8">
        <f>C7*(1+Scenario_Control!$B$11)+Scenario_Control!$B$12</f>
        <v>38836.806997859996</v>
      </c>
      <c r="D8" s="8">
        <f t="shared" si="1"/>
        <v>21938.505502140004</v>
      </c>
      <c r="E8" s="8">
        <f t="shared" si="2"/>
        <v>232293.52224014001</v>
      </c>
      <c r="F8" s="3" t="str">
        <f>Scenario_Control!$B$3</f>
        <v>Base Case</v>
      </c>
    </row>
    <row r="9" spans="1:6" x14ac:dyDescent="0.25">
      <c r="A9" s="14">
        <f t="shared" si="0"/>
        <v>45778</v>
      </c>
      <c r="B9" s="8">
        <f>B8*(1+Scenario_Control!$B$10)</f>
        <v>63814.078125</v>
      </c>
      <c r="C9" s="8">
        <f>C8*(1+Scenario_Control!$B$11)+Scenario_Control!$B$12</f>
        <v>40001.911207795798</v>
      </c>
      <c r="D9" s="8">
        <f t="shared" si="1"/>
        <v>23812.166917204202</v>
      </c>
      <c r="E9" s="8">
        <f t="shared" si="2"/>
        <v>256105.68915734423</v>
      </c>
      <c r="F9" s="3" t="str">
        <f>Scenario_Control!$B$3</f>
        <v>Base Case</v>
      </c>
    </row>
    <row r="10" spans="1:6" x14ac:dyDescent="0.25">
      <c r="A10" s="14">
        <f t="shared" si="0"/>
        <v>45809</v>
      </c>
      <c r="B10" s="8">
        <f>B9*(1+Scenario_Control!$B$10)</f>
        <v>67004.782031249997</v>
      </c>
      <c r="C10" s="8">
        <f>C9*(1+Scenario_Control!$B$11)+Scenario_Control!$B$12</f>
        <v>41201.968544029674</v>
      </c>
      <c r="D10" s="8">
        <f t="shared" si="1"/>
        <v>25802.813487220323</v>
      </c>
      <c r="E10" s="8">
        <f t="shared" si="2"/>
        <v>281908.50264456455</v>
      </c>
      <c r="F10" s="3" t="str">
        <f>Scenario_Control!$B$3</f>
        <v>Base Case</v>
      </c>
    </row>
    <row r="11" spans="1:6" x14ac:dyDescent="0.25">
      <c r="A11" s="14">
        <f t="shared" si="0"/>
        <v>45839</v>
      </c>
      <c r="B11" s="8">
        <f>B10*(1+Scenario_Control!$B$10)</f>
        <v>70355.021132812501</v>
      </c>
      <c r="C11" s="8">
        <f>C10*(1+Scenario_Control!$B$11)+Scenario_Control!$B$12</f>
        <v>42438.027600350564</v>
      </c>
      <c r="D11" s="8">
        <f t="shared" si="1"/>
        <v>27916.993532461936</v>
      </c>
      <c r="E11" s="8">
        <f t="shared" si="2"/>
        <v>309825.49617702648</v>
      </c>
      <c r="F11" s="3" t="str">
        <f>Scenario_Control!$B$3</f>
        <v>Base Case</v>
      </c>
    </row>
    <row r="12" spans="1:6" x14ac:dyDescent="0.25">
      <c r="A12" s="14">
        <f t="shared" si="0"/>
        <v>45870</v>
      </c>
      <c r="B12" s="8">
        <f>B11*(1+Scenario_Control!$B$10)</f>
        <v>73872.772189453128</v>
      </c>
      <c r="C12" s="8">
        <f>C11*(1+Scenario_Control!$B$11)+Scenario_Control!$B$12</f>
        <v>43711.168428361081</v>
      </c>
      <c r="D12" s="8">
        <f t="shared" si="1"/>
        <v>30161.603761092047</v>
      </c>
      <c r="E12" s="8">
        <f t="shared" si="2"/>
        <v>339987.09993811854</v>
      </c>
      <c r="F12" s="3" t="str">
        <f>Scenario_Control!$B$3</f>
        <v>Base Case</v>
      </c>
    </row>
    <row r="13" spans="1:6" x14ac:dyDescent="0.25">
      <c r="A13" s="14">
        <f t="shared" si="0"/>
        <v>45901</v>
      </c>
      <c r="B13" s="8">
        <f>B12*(1+Scenario_Control!$B$10)</f>
        <v>77566.41079892579</v>
      </c>
      <c r="C13" s="8">
        <f>C12*(1+Scenario_Control!$B$11)+Scenario_Control!$B$12</f>
        <v>45022.503481211912</v>
      </c>
      <c r="D13" s="8">
        <f t="shared" si="1"/>
        <v>32543.907317713878</v>
      </c>
      <c r="E13" s="8">
        <f t="shared" si="2"/>
        <v>372531.00725583243</v>
      </c>
      <c r="F13" s="3" t="str">
        <f>Scenario_Control!$B$3</f>
        <v>Base Case</v>
      </c>
    </row>
    <row r="14" spans="1:6" x14ac:dyDescent="0.25">
      <c r="A14" s="14">
        <f t="shared" si="0"/>
        <v>45931</v>
      </c>
      <c r="B14" s="8">
        <f>B13*(1+Scenario_Control!$B$10)</f>
        <v>81444.73133887208</v>
      </c>
      <c r="C14" s="8">
        <f>C13*(1+Scenario_Control!$B$11)+Scenario_Control!$B$12</f>
        <v>46373.178585648267</v>
      </c>
      <c r="D14" s="8">
        <f t="shared" si="1"/>
        <v>35071.552753223812</v>
      </c>
      <c r="E14" s="8">
        <f t="shared" si="2"/>
        <v>407602.56000905624</v>
      </c>
      <c r="F14" s="3" t="str">
        <f>Scenario_Control!$B$3</f>
        <v>Base Case</v>
      </c>
    </row>
    <row r="15" spans="1:6" x14ac:dyDescent="0.25">
      <c r="A15" s="14">
        <f t="shared" si="0"/>
        <v>45962</v>
      </c>
      <c r="B15" s="8">
        <f>B14*(1+Scenario_Control!$B$10)</f>
        <v>85516.967905815691</v>
      </c>
      <c r="C15" s="8">
        <f>C14*(1+Scenario_Control!$B$11)+Scenario_Control!$B$12</f>
        <v>47764.373943217717</v>
      </c>
      <c r="D15" s="8">
        <f t="shared" si="1"/>
        <v>37752.593962597974</v>
      </c>
      <c r="E15" s="8">
        <f t="shared" si="2"/>
        <v>445355.15397165419</v>
      </c>
      <c r="F15" s="3" t="str">
        <f>Scenario_Control!$B$3</f>
        <v>Base Case</v>
      </c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pane ySplit="3" topLeftCell="A4" activePane="bottomLeft" state="frozen"/>
      <selection pane="bottomLeft" activeCell="B15" sqref="B15"/>
    </sheetView>
  </sheetViews>
  <sheetFormatPr defaultRowHeight="15" x14ac:dyDescent="0.25"/>
  <cols>
    <col min="1" max="1" width="32" customWidth="1"/>
    <col min="2" max="2" width="24" customWidth="1"/>
  </cols>
  <sheetData>
    <row r="1" spans="1:2" ht="21" x14ac:dyDescent="0.35">
      <c r="A1" s="1" t="s">
        <v>25</v>
      </c>
    </row>
    <row r="3" spans="1:2" ht="15.75" x14ac:dyDescent="0.25">
      <c r="A3" s="5" t="s">
        <v>26</v>
      </c>
    </row>
    <row r="4" spans="1:2" x14ac:dyDescent="0.25">
      <c r="A4" s="7" t="s">
        <v>27</v>
      </c>
      <c r="B4" s="12">
        <f>SUM(Forecast_Model!B4:B15)</f>
        <v>795856.32602212916</v>
      </c>
    </row>
    <row r="5" spans="1:2" x14ac:dyDescent="0.25">
      <c r="A5" s="7" t="s">
        <v>28</v>
      </c>
      <c r="B5" s="12">
        <f>SUM(Forecast_Model!C4:C15)</f>
        <v>489710.17205047497</v>
      </c>
    </row>
    <row r="6" spans="1:2" x14ac:dyDescent="0.25">
      <c r="A6" s="7" t="s">
        <v>29</v>
      </c>
      <c r="B6" s="12">
        <f>Forecast_Model!E15</f>
        <v>445355.15397165419</v>
      </c>
    </row>
    <row r="7" spans="1:2" x14ac:dyDescent="0.25">
      <c r="A7" s="7" t="s">
        <v>30</v>
      </c>
      <c r="B7" s="12">
        <f>MIN(Forecast_Model!E4:E15)</f>
        <v>154703</v>
      </c>
    </row>
    <row r="8" spans="1:2" x14ac:dyDescent="0.25">
      <c r="A8" s="7" t="s">
        <v>31</v>
      </c>
      <c r="B8" s="7" t="str">
        <f>Scenario_Control!B3</f>
        <v>Base Case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3"/>
  <sheetViews>
    <sheetView workbookViewId="0">
      <selection activeCell="A14" sqref="A14"/>
    </sheetView>
  </sheetViews>
  <sheetFormatPr defaultRowHeight="15" x14ac:dyDescent="0.25"/>
  <cols>
    <col min="1" max="1" width="90" customWidth="1"/>
  </cols>
  <sheetData>
    <row r="1" spans="1:1" ht="21" x14ac:dyDescent="0.35">
      <c r="A1" s="1" t="s">
        <v>32</v>
      </c>
    </row>
    <row r="3" spans="1:1" ht="15.75" x14ac:dyDescent="0.25">
      <c r="A3" s="5" t="s">
        <v>33</v>
      </c>
    </row>
    <row r="4" spans="1:1" x14ac:dyDescent="0.25">
      <c r="A4" t="s">
        <v>49</v>
      </c>
    </row>
    <row r="6" spans="1:1" ht="15.75" x14ac:dyDescent="0.25">
      <c r="A6" s="5" t="s">
        <v>34</v>
      </c>
    </row>
    <row r="7" spans="1:1" x14ac:dyDescent="0.25">
      <c r="A7" t="s">
        <v>50</v>
      </c>
    </row>
    <row r="9" spans="1:1" ht="15.75" x14ac:dyDescent="0.25">
      <c r="A9" s="5" t="s">
        <v>35</v>
      </c>
    </row>
    <row r="10" spans="1:1" x14ac:dyDescent="0.25">
      <c r="A10" t="s">
        <v>51</v>
      </c>
    </row>
    <row r="12" spans="1:1" ht="15.75" x14ac:dyDescent="0.25">
      <c r="A12" s="5" t="s">
        <v>36</v>
      </c>
    </row>
    <row r="13" spans="1:1" x14ac:dyDescent="0.25">
      <c r="A13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Historical_Data</vt:lpstr>
      <vt:lpstr>Assumptions</vt:lpstr>
      <vt:lpstr>Scenario_Control</vt:lpstr>
      <vt:lpstr>Forecast_Model</vt:lpstr>
      <vt:lpstr>Dashboard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hashsham.abid1992@outlook.com</cp:lastModifiedBy>
  <dcterms:created xsi:type="dcterms:W3CDTF">2025-12-26T00:59:56Z</dcterms:created>
  <dcterms:modified xsi:type="dcterms:W3CDTF">2026-01-03T23:17:00Z</dcterms:modified>
</cp:coreProperties>
</file>