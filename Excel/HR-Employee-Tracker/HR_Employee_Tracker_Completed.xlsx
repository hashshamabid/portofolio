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F:\Excel_Intermediate_Practice_Pack_UK\"/>
    </mc:Choice>
  </mc:AlternateContent>
  <xr:revisionPtr revIDLastSave="0" documentId="13_ncr:1_{F4C24D22-B314-43D1-9618-C51731B8AF23}" xr6:coauthVersionLast="47" xr6:coauthVersionMax="47" xr10:uidLastSave="{00000000-0000-0000-0000-000000000000}"/>
  <bookViews>
    <workbookView xWindow="-120" yWindow="-120" windowWidth="20730" windowHeight="11160" firstSheet="1" activeTab="4" xr2:uid="{00000000-000D-0000-FFFF-FFFF00000000}"/>
  </bookViews>
  <sheets>
    <sheet name="Instructions" sheetId="1" r:id="rId1"/>
    <sheet name="Employee Pivut" sheetId="4" r:id="rId2"/>
    <sheet name="Dashboard" sheetId="5" r:id="rId3"/>
    <sheet name="Sheet2" sheetId="6" r:id="rId4"/>
    <sheet name="New Dashboard" sheetId="7" r:id="rId5"/>
    <sheet name="Employees" sheetId="2" r:id="rId6"/>
    <sheet name="Sheet1" sheetId="3" r:id="rId7"/>
  </sheets>
  <definedNames>
    <definedName name="Slicer_Role1">#N/A</definedName>
  </definedNames>
  <calcPr calcId="191029"/>
  <pivotCaches>
    <pivotCache cacheId="6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J2" i="2" s="1"/>
  <c r="K2" i="2" s="1"/>
  <c r="G3" i="2"/>
  <c r="G4" i="2"/>
  <c r="G5" i="2"/>
  <c r="G6" i="2"/>
  <c r="G7" i="2"/>
  <c r="G8" i="2"/>
  <c r="G9" i="2"/>
  <c r="G10" i="2"/>
  <c r="G11" i="2"/>
  <c r="G12" i="2"/>
  <c r="G13" i="2"/>
  <c r="G14" i="2"/>
  <c r="G15" i="2"/>
  <c r="G16" i="2"/>
  <c r="J16" i="2" s="1"/>
  <c r="K16" i="2" s="1"/>
  <c r="G17" i="2"/>
  <c r="G18" i="2"/>
  <c r="J18" i="2" s="1"/>
  <c r="G19" i="2"/>
  <c r="G20" i="2"/>
  <c r="J20" i="2" s="1"/>
  <c r="K20" i="2" s="1"/>
  <c r="G21" i="2"/>
  <c r="G22" i="2"/>
  <c r="J22" i="2" s="1"/>
  <c r="K22" i="2" s="1"/>
  <c r="G23" i="2"/>
  <c r="G24" i="2"/>
  <c r="J24" i="2" s="1"/>
  <c r="K24" i="2" s="1"/>
  <c r="G25" i="2"/>
  <c r="G26" i="2"/>
  <c r="J26" i="2" s="1"/>
  <c r="K26" i="2" s="1"/>
  <c r="G27" i="2"/>
  <c r="G28" i="2"/>
  <c r="J28" i="2" s="1"/>
  <c r="K28" i="2" s="1"/>
  <c r="G29" i="2"/>
  <c r="G30" i="2"/>
  <c r="J30" i="2" s="1"/>
  <c r="K30" i="2" s="1"/>
  <c r="G31" i="2"/>
  <c r="G32" i="2"/>
  <c r="J32" i="2" s="1"/>
  <c r="K32" i="2" s="1"/>
  <c r="G33" i="2"/>
  <c r="G34" i="2"/>
  <c r="J34" i="2" s="1"/>
  <c r="K34" i="2" s="1"/>
  <c r="G35" i="2"/>
  <c r="G36" i="2"/>
  <c r="J36" i="2" s="1"/>
  <c r="K36" i="2" s="1"/>
  <c r="G37" i="2"/>
  <c r="G38" i="2"/>
  <c r="J38" i="2" s="1"/>
  <c r="K38" i="2" s="1"/>
  <c r="G39" i="2"/>
  <c r="G40" i="2"/>
  <c r="J40" i="2" s="1"/>
  <c r="K40" i="2" s="1"/>
  <c r="G41" i="2"/>
  <c r="G42" i="2"/>
  <c r="J42" i="2" s="1"/>
  <c r="K42" i="2" s="1"/>
  <c r="G43" i="2"/>
  <c r="G44" i="2"/>
  <c r="J44" i="2" s="1"/>
  <c r="K44" i="2" s="1"/>
  <c r="G45" i="2"/>
  <c r="G46" i="2"/>
  <c r="J46" i="2" s="1"/>
  <c r="K46" i="2" s="1"/>
  <c r="G47" i="2"/>
  <c r="G48" i="2"/>
  <c r="J48" i="2" s="1"/>
  <c r="K48" i="2" s="1"/>
  <c r="G49" i="2"/>
  <c r="G50" i="2"/>
  <c r="J50" i="2" s="1"/>
  <c r="K50" i="2" s="1"/>
  <c r="G51" i="2"/>
  <c r="G52" i="2"/>
  <c r="G53" i="2"/>
  <c r="B7" i="3" a="1"/>
  <c r="B7" i="3" s="1"/>
  <c r="N53" i="2"/>
  <c r="O53" i="2"/>
  <c r="N52" i="2"/>
  <c r="O5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E7" i="3" a="1"/>
  <c r="K18" i="2"/>
  <c r="M7" i="6"/>
  <c r="M6" i="6"/>
  <c r="M5" i="6"/>
  <c r="M4" i="6"/>
  <c r="M3" i="6"/>
  <c r="J53" i="2" l="1"/>
  <c r="K53" i="2" s="1"/>
  <c r="J51" i="2"/>
  <c r="K51" i="2" s="1"/>
  <c r="J49" i="2"/>
  <c r="K49" i="2" s="1"/>
  <c r="J47" i="2"/>
  <c r="K47" i="2" s="1"/>
  <c r="J45" i="2"/>
  <c r="K45" i="2" s="1"/>
  <c r="J43" i="2"/>
  <c r="K43" i="2" s="1"/>
  <c r="J41" i="2"/>
  <c r="K41" i="2" s="1"/>
  <c r="J39" i="2"/>
  <c r="K39" i="2" s="1"/>
  <c r="J37" i="2"/>
  <c r="K37" i="2" s="1"/>
  <c r="J35" i="2"/>
  <c r="K35" i="2" s="1"/>
  <c r="J33" i="2"/>
  <c r="K33" i="2" s="1"/>
  <c r="J31" i="2"/>
  <c r="K31" i="2" s="1"/>
  <c r="J29" i="2"/>
  <c r="K29" i="2" s="1"/>
  <c r="J27" i="2"/>
  <c r="K27" i="2" s="1"/>
  <c r="J25" i="2"/>
  <c r="K25" i="2" s="1"/>
  <c r="J23" i="2"/>
  <c r="K23" i="2" s="1"/>
  <c r="J21" i="2"/>
  <c r="K21" i="2" s="1"/>
  <c r="J19" i="2"/>
  <c r="K19" i="2" s="1"/>
  <c r="J17" i="2"/>
  <c r="K17" i="2" s="1"/>
  <c r="J15" i="2"/>
  <c r="K15" i="2" s="1"/>
  <c r="J13" i="2"/>
  <c r="K13" i="2" s="1"/>
  <c r="J11" i="2"/>
  <c r="K11" i="2" s="1"/>
  <c r="J9" i="2"/>
  <c r="K9" i="2" s="1"/>
  <c r="J7" i="2"/>
  <c r="K7" i="2" s="1"/>
  <c r="J5" i="2"/>
  <c r="K5" i="2" s="1"/>
  <c r="J3" i="2"/>
  <c r="K3" i="2" s="1"/>
  <c r="J52" i="2"/>
  <c r="K52" i="2" s="1"/>
  <c r="J14" i="2"/>
  <c r="K14" i="2" s="1"/>
  <c r="J12" i="2"/>
  <c r="K12" i="2" s="1"/>
  <c r="J10" i="2"/>
  <c r="K10" i="2" s="1"/>
  <c r="J8" i="2"/>
  <c r="K8" i="2" s="1"/>
  <c r="J6" i="2"/>
  <c r="K6" i="2" s="1"/>
  <c r="J4" i="2"/>
  <c r="K4" i="2" s="1"/>
  <c r="E7" i="3"/>
  <c r="G8" i="3"/>
  <c r="G10" i="3"/>
  <c r="G12" i="3"/>
  <c r="F9" i="3"/>
  <c r="F11" i="3"/>
  <c r="F13" i="3"/>
  <c r="F12" i="3"/>
  <c r="F10" i="3"/>
  <c r="F8" i="3"/>
  <c r="G13" i="3"/>
  <c r="G11" i="3"/>
  <c r="G9" i="3"/>
  <c r="G7" i="3" l="1"/>
  <c r="F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<sst xmlns="http://schemas.openxmlformats.org/spreadsheetml/2006/main" count="446" uniqueCount="211">
  <si>
    <t>Instructions</t>
  </si>
  <si>
    <t>HR_Employee_Tracker.xlsx - Instructions</t>
  </si>
  <si>
    <t>Sheets:</t>
  </si>
  <si>
    <t xml:space="preserve"> - Employees: Employee roster with salary, join date and attendance.</t>
  </si>
  <si>
    <t>Suggested tasks:</t>
  </si>
  <si>
    <t xml:space="preserve"> - Use LOOKUPs to fetch employee details by ID.</t>
  </si>
  <si>
    <t xml:space="preserve"> - Calculate absence days (assuming 260 working days).</t>
  </si>
  <si>
    <t xml:space="preserve"> - Create department-wise summaries (avg salary, avg performance).</t>
  </si>
  <si>
    <t xml:space="preserve"> - Use data validation to create department drop-downs.</t>
  </si>
  <si>
    <t>Employee ID</t>
  </si>
  <si>
    <t>Name</t>
  </si>
  <si>
    <t>Department</t>
  </si>
  <si>
    <t>Role</t>
  </si>
  <si>
    <t>Salary (£)</t>
  </si>
  <si>
    <t>Join Date</t>
  </si>
  <si>
    <t>Days Present (last 12 months)</t>
  </si>
  <si>
    <t>Performance Score</t>
  </si>
  <si>
    <t>E1000</t>
  </si>
  <si>
    <t>Poppy Brown</t>
  </si>
  <si>
    <t>Marketing</t>
  </si>
  <si>
    <t>Manager</t>
  </si>
  <si>
    <t>06/09/2018</t>
  </si>
  <si>
    <t>E1001</t>
  </si>
  <si>
    <t>Lily Thomas</t>
  </si>
  <si>
    <t>HR</t>
  </si>
  <si>
    <t>03/07/2022</t>
  </si>
  <si>
    <t>E1002</t>
  </si>
  <si>
    <t>Daniel Johnson</t>
  </si>
  <si>
    <t>Customer Support</t>
  </si>
  <si>
    <t>Executive</t>
  </si>
  <si>
    <t>07/10/2016</t>
  </si>
  <si>
    <t>E1003</t>
  </si>
  <si>
    <t>Henry Thomas</t>
  </si>
  <si>
    <t>Analyst</t>
  </si>
  <si>
    <t>16/04/2016</t>
  </si>
  <si>
    <t>E1004</t>
  </si>
  <si>
    <t>Amelia Thomas</t>
  </si>
  <si>
    <t>Finance</t>
  </si>
  <si>
    <t>25/10/2020</t>
  </si>
  <si>
    <t>E1005</t>
  </si>
  <si>
    <t>Grace Davies</t>
  </si>
  <si>
    <t>Coordinator</t>
  </si>
  <si>
    <t>24/06/2016</t>
  </si>
  <si>
    <t>E1006</t>
  </si>
  <si>
    <t>Amelia Taylor</t>
  </si>
  <si>
    <t>Sales</t>
  </si>
  <si>
    <t>10/05/2021</t>
  </si>
  <si>
    <t>E1007</t>
  </si>
  <si>
    <t>William Jones</t>
  </si>
  <si>
    <t>Director</t>
  </si>
  <si>
    <t>09/05/2021</t>
  </si>
  <si>
    <t>E1008</t>
  </si>
  <si>
    <t>George Davies</t>
  </si>
  <si>
    <t>15/04/2017</t>
  </si>
  <si>
    <t>E1009</t>
  </si>
  <si>
    <t>Thomas Evans</t>
  </si>
  <si>
    <t>02/09/2021</t>
  </si>
  <si>
    <t>E1010</t>
  </si>
  <si>
    <t>Henry Davies</t>
  </si>
  <si>
    <t>10/01/2015</t>
  </si>
  <si>
    <t>E1011</t>
  </si>
  <si>
    <t>Harry Johnson</t>
  </si>
  <si>
    <t>Operations</t>
  </si>
  <si>
    <t>05/12/2017</t>
  </si>
  <si>
    <t>E1012</t>
  </si>
  <si>
    <t>Sophie Taylor</t>
  </si>
  <si>
    <t>08/05/2019</t>
  </si>
  <si>
    <t>E1013</t>
  </si>
  <si>
    <t>Isla Roberts</t>
  </si>
  <si>
    <t>18/04/2017</t>
  </si>
  <si>
    <t>E1014</t>
  </si>
  <si>
    <t>Jack Evans</t>
  </si>
  <si>
    <t>18/05/2015</t>
  </si>
  <si>
    <t>E1015</t>
  </si>
  <si>
    <t>Sophie Thomas</t>
  </si>
  <si>
    <t>01/05/2017</t>
  </si>
  <si>
    <t>E1016</t>
  </si>
  <si>
    <t>30/08/2019</t>
  </si>
  <si>
    <t>E1017</t>
  </si>
  <si>
    <t>William Roberts</t>
  </si>
  <si>
    <t>21/04/2022</t>
  </si>
  <si>
    <t>E1018</t>
  </si>
  <si>
    <t>George Johnson</t>
  </si>
  <si>
    <t>14/07/2021</t>
  </si>
  <si>
    <t>E1019</t>
  </si>
  <si>
    <t>Harry Thomas</t>
  </si>
  <si>
    <t>IT</t>
  </si>
  <si>
    <t>15/12/2017</t>
  </si>
  <si>
    <t>E1020</t>
  </si>
  <si>
    <t>24/07/2017</t>
  </si>
  <si>
    <t>E1021</t>
  </si>
  <si>
    <t>Mia Smith</t>
  </si>
  <si>
    <t>01/11/2021</t>
  </si>
  <si>
    <t>E1022</t>
  </si>
  <si>
    <t>William Davies</t>
  </si>
  <si>
    <t>15/10/2016</t>
  </si>
  <si>
    <t>E1023</t>
  </si>
  <si>
    <t>Daniel Brown</t>
  </si>
  <si>
    <t>08/03/2015</t>
  </si>
  <si>
    <t>E1024</t>
  </si>
  <si>
    <t>Henry Jones</t>
  </si>
  <si>
    <t>29/07/2017</t>
  </si>
  <si>
    <t>E1025</t>
  </si>
  <si>
    <t>Charlie Evans</t>
  </si>
  <si>
    <t>06/10/2022</t>
  </si>
  <si>
    <t>E1026</t>
  </si>
  <si>
    <t>Grace Thomas</t>
  </si>
  <si>
    <t>15/10/2019</t>
  </si>
  <si>
    <t>E1027</t>
  </si>
  <si>
    <t>Lily Johnson</t>
  </si>
  <si>
    <t>21/08/2015</t>
  </si>
  <si>
    <t>E1028</t>
  </si>
  <si>
    <t>Mia Taylor</t>
  </si>
  <si>
    <t>09/12/2016</t>
  </si>
  <si>
    <t>E1029</t>
  </si>
  <si>
    <t>Henry Roberts</t>
  </si>
  <si>
    <t>29/11/2016</t>
  </si>
  <si>
    <t>E1030</t>
  </si>
  <si>
    <t>Charlie Brown</t>
  </si>
  <si>
    <t>21/02/2020</t>
  </si>
  <si>
    <t>E1031</t>
  </si>
  <si>
    <t>Henry Smith</t>
  </si>
  <si>
    <t>31/10/2016</t>
  </si>
  <si>
    <t>E1032</t>
  </si>
  <si>
    <t>Sophie Smith</t>
  </si>
  <si>
    <t>22/08/2019</t>
  </si>
  <si>
    <t>E1033</t>
  </si>
  <si>
    <t>Poppy Thomas</t>
  </si>
  <si>
    <t>04/05/2020</t>
  </si>
  <si>
    <t>E1034</t>
  </si>
  <si>
    <t>Ella Davies</t>
  </si>
  <si>
    <t>23/12/2021</t>
  </si>
  <si>
    <t>E1035</t>
  </si>
  <si>
    <t>Emily Wilson</t>
  </si>
  <si>
    <t>27/01/2021</t>
  </si>
  <si>
    <t>E1036</t>
  </si>
  <si>
    <t>James Brown</t>
  </si>
  <si>
    <t>30/08/2016</t>
  </si>
  <si>
    <t>E1037</t>
  </si>
  <si>
    <t>Harry Brown</t>
  </si>
  <si>
    <t>23/07/2021</t>
  </si>
  <si>
    <t>E1038</t>
  </si>
  <si>
    <t>William Evans</t>
  </si>
  <si>
    <t>Specialist</t>
  </si>
  <si>
    <t>09/11/2017</t>
  </si>
  <si>
    <t>E1039</t>
  </si>
  <si>
    <t>George Taylor</t>
  </si>
  <si>
    <t>23/01/2020</t>
  </si>
  <si>
    <t>E1040</t>
  </si>
  <si>
    <t>13/07/2015</t>
  </si>
  <si>
    <t>E1041</t>
  </si>
  <si>
    <t>Daniel Smith</t>
  </si>
  <si>
    <t>20/09/2022</t>
  </si>
  <si>
    <t>E1042</t>
  </si>
  <si>
    <t>Lily Smith</t>
  </si>
  <si>
    <t>22/07/2015</t>
  </si>
  <si>
    <t>E1043</t>
  </si>
  <si>
    <t>16/09/2021</t>
  </si>
  <si>
    <t>E1044</t>
  </si>
  <si>
    <t>Henry Johnson</t>
  </si>
  <si>
    <t>30/12/2016</t>
  </si>
  <si>
    <t>E1045</t>
  </si>
  <si>
    <t>Olivia Thomas</t>
  </si>
  <si>
    <t>09/07/2020</t>
  </si>
  <si>
    <t>E1046</t>
  </si>
  <si>
    <t>Charlie Taylor</t>
  </si>
  <si>
    <t>E1047</t>
  </si>
  <si>
    <t>Sophie Brown</t>
  </si>
  <si>
    <t>24/03/2019</t>
  </si>
  <si>
    <t>E1048</t>
  </si>
  <si>
    <t>Charlie Johnson</t>
  </si>
  <si>
    <t>26/02/2017</t>
  </si>
  <si>
    <t>E1049</t>
  </si>
  <si>
    <t>Oliver Roberts</t>
  </si>
  <si>
    <t>02/04/2018</t>
  </si>
  <si>
    <t>Search for Employee by ID</t>
  </si>
  <si>
    <t>Salary</t>
  </si>
  <si>
    <t>Absent Days</t>
  </si>
  <si>
    <t>Looking for an employee by ID</t>
  </si>
  <si>
    <t>Deparment</t>
  </si>
  <si>
    <t>Avg. Salary</t>
  </si>
  <si>
    <t>Avg. Performance</t>
  </si>
  <si>
    <t>Row Labels</t>
  </si>
  <si>
    <t>Grand Total</t>
  </si>
  <si>
    <t>Count of Employee ID</t>
  </si>
  <si>
    <t>Average of Salary (£)</t>
  </si>
  <si>
    <t>Average of Performance Score</t>
  </si>
  <si>
    <t>Average of Absent Days</t>
  </si>
  <si>
    <t>Percentange of Present</t>
  </si>
  <si>
    <t>Average of Percentange of Present</t>
  </si>
  <si>
    <t>Deparment Summary</t>
  </si>
  <si>
    <t xml:space="preserve">Days Present </t>
  </si>
  <si>
    <t>Total Employee</t>
  </si>
  <si>
    <t>Tenure</t>
  </si>
  <si>
    <t>Average Tenure</t>
  </si>
  <si>
    <t>Average of Tenure</t>
  </si>
  <si>
    <t>Status</t>
  </si>
  <si>
    <t>Leaver</t>
  </si>
  <si>
    <t>Active</t>
  </si>
  <si>
    <t>End Date</t>
  </si>
  <si>
    <t>New Hire</t>
  </si>
  <si>
    <t>E1050</t>
  </si>
  <si>
    <t>Jack Dalloway</t>
  </si>
  <si>
    <t>E1051</t>
  </si>
  <si>
    <t>Hashsham Abid</t>
  </si>
  <si>
    <t>Working Days</t>
  </si>
  <si>
    <t>Count of Name</t>
  </si>
  <si>
    <t>Sum of New Hire</t>
  </si>
  <si>
    <t>Average Salary</t>
  </si>
  <si>
    <t>Count of End Date</t>
  </si>
  <si>
    <t>Turnover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</si>
</sst>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quot;£&quot;#,##0.00"/>
    <numFmt numFmtId="174" formatCode="&quot;£&quot;#,##0"/>
  </numFmts>
  <fonts count="8" x14ac:knownFonts="1">
    <font>
      <sz val="11"/>
      <color theme="1"/>
      <name val="Calibri"/>
      <family val="2"/>
      <scheme val="minor"/>
    </font>
    <font>
      <b/>
      <sz val="11"/>
      <name val="Calibri"/>
    </font>
    <font>
      <i/>
      <sz val="11"/>
      <color rgb="FF7F7F7F"/>
      <name val="Calibri"/>
      <family val="2"/>
      <scheme val="minor"/>
    </font>
    <font>
      <b/>
      <sz val="11"/>
      <name val="Calibri"/>
      <family val="2"/>
    </font>
    <font>
      <sz val="20"/>
      <color theme="0"/>
      <name val="Calibri"/>
      <family val="2"/>
      <scheme val="minor"/>
    </font>
    <font>
      <b/>
      <sz val="15"/>
      <color theme="0"/>
      <name val="Calibri"/>
      <family val="2"/>
      <scheme val="minor"/>
    </font>
    <font>
      <sz val="13"/>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0" fontId="2" fillId="0" borderId="0" applyNumberFormat="0" applyFill="0" applyBorder="0" applyAlignment="0" applyProtection="0"/>
    <xf numFmtId="9" fontId="7" fillId="0" borderId="0" applyFont="0" applyFill="0" applyBorder="0" applyAlignment="0" applyProtection="0"/>
  </cellStyleXfs>
  <cellXfs count="39">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top"/>
    </xf>
    <xf numFmtId="0" fontId="3" fillId="0" borderId="2" xfId="0" applyFont="1" applyBorder="1" applyAlignment="1">
      <alignment horizontal="center" vertical="top"/>
    </xf>
    <xf numFmtId="0" fontId="0" fillId="2" borderId="0" xfId="0" applyFill="1"/>
    <xf numFmtId="0" fontId="2" fillId="2" borderId="1" xfId="1" applyFill="1" applyBorder="1"/>
    <xf numFmtId="0" fontId="5" fillId="2" borderId="1" xfId="0" applyFont="1" applyFill="1" applyBorder="1" applyAlignment="1">
      <alignment horizontal="left" vertical="center"/>
    </xf>
    <xf numFmtId="0" fontId="6" fillId="2" borderId="1" xfId="0" applyFont="1" applyFill="1" applyBorder="1" applyAlignment="1">
      <alignment horizontal="center"/>
    </xf>
    <xf numFmtId="2" fontId="0" fillId="0" borderId="0" xfId="0" applyNumberFormat="1"/>
    <xf numFmtId="0" fontId="0" fillId="3" borderId="0" xfId="0" applyFill="1"/>
    <xf numFmtId="0" fontId="6" fillId="3" borderId="1" xfId="0" applyFont="1" applyFill="1" applyBorder="1" applyAlignment="1">
      <alignment horizontal="center"/>
    </xf>
    <xf numFmtId="165" fontId="6" fillId="3" borderId="1" xfId="0" applyNumberFormat="1" applyFont="1" applyFill="1" applyBorder="1" applyAlignment="1">
      <alignment horizontal="center"/>
    </xf>
    <xf numFmtId="2" fontId="6" fillId="3" borderId="1" xfId="0" applyNumberFormat="1" applyFont="1" applyFill="1" applyBorder="1" applyAlignment="1">
      <alignment horizontal="center"/>
    </xf>
    <xf numFmtId="0" fontId="5" fillId="3" borderId="1" xfId="0" applyFont="1" applyFill="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9" fontId="0" fillId="0" borderId="0" xfId="2" applyFont="1" applyAlignment="1">
      <alignment horizontal="center"/>
    </xf>
    <xf numFmtId="9" fontId="3" fillId="0" borderId="2" xfId="2" applyFont="1" applyBorder="1" applyAlignment="1">
      <alignment horizontal="center" vertical="top"/>
    </xf>
    <xf numFmtId="9" fontId="0" fillId="0" borderId="0" xfId="2" applyFont="1"/>
    <xf numFmtId="0" fontId="4" fillId="2" borderId="0" xfId="0" applyFont="1" applyFill="1" applyAlignment="1">
      <alignment horizontal="center" vertical="center"/>
    </xf>
    <xf numFmtId="0" fontId="4" fillId="3" borderId="0" xfId="0" applyFont="1" applyFill="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xf numFmtId="14" fontId="0" fillId="0" borderId="0" xfId="0" applyNumberFormat="1" applyAlignment="1">
      <alignment horizontal="center"/>
    </xf>
    <xf numFmtId="9" fontId="0" fillId="0" borderId="0" xfId="2" applyNumberFormat="1" applyFont="1" applyAlignment="1">
      <alignment horizontal="center"/>
    </xf>
    <xf numFmtId="0" fontId="0" fillId="0" borderId="0" xfId="0" applyNumberFormat="1" applyAlignment="1">
      <alignment horizontal="center"/>
    </xf>
    <xf numFmtId="174" fontId="0" fillId="0" borderId="0" xfId="0" applyNumberFormat="1"/>
  </cellXfs>
  <cellStyles count="3">
    <cellStyle name="Explanatory Text" xfId="1" builtinId="53"/>
    <cellStyle name="Normal" xfId="0" builtinId="0"/>
    <cellStyle name="Percent" xfId="2" builtinId="5"/>
  </cellStyles>
  <dxfs count="19">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AE1212"/>
      <color rgb="FFD339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[HR_Employee_Tracker_Completed.xlsx]Employee Pivut!PivotTable1</c:name>
    <c:fmtId val="2"/>
  </c:pivotSource>
  <c:chart>
    <c:title>
      <c:tx>
        <c:rich>
          <a:bodyPr rot="0" spcFirstLastPara="1" vertOverflow="ellipsis" vert="horz" wrap="square" anchor="ctr" anchorCtr="1"/>
          <a:lstStyle/>
          <a:p>
            <a:pPr>
              <a:defRPr sz="1700" b="1" i="0" u="none" strike="noStrike" kern="1200" spc="0" baseline="0">
                <a:solidFill>
                  <a:schemeClr val="accent2">
                    <a:lumMod val="50000"/>
                  </a:schemeClr>
                </a:solidFill>
                <a:latin typeface="+mn-lt"/>
                <a:ea typeface="+mn-ea"/>
                <a:cs typeface="+mn-cs"/>
              </a:defRPr>
            </a:pPr>
            <a:r>
              <a:rPr lang="en-US" sz="1700" b="1">
                <a:solidFill>
                  <a:schemeClr val="accent2">
                    <a:lumMod val="50000"/>
                  </a:schemeClr>
                </a:solidFill>
              </a:rPr>
              <a:t>Total</a:t>
            </a:r>
            <a:r>
              <a:rPr lang="en-US" sz="1700" b="1" baseline="0">
                <a:solidFill>
                  <a:schemeClr val="accent2">
                    <a:lumMod val="50000"/>
                  </a:schemeClr>
                </a:solidFill>
              </a:rPr>
              <a:t> Employee</a:t>
            </a:r>
          </a:p>
        </c:rich>
      </c:tx>
      <c:layout>
        <c:manualLayout>
          <c:xMode val="edge"/>
          <c:yMode val="edge"/>
          <c:x val="0.30299999999999999"/>
          <c:y val="2.7777777777777776E-2"/>
        </c:manualLayout>
      </c:layout>
      <c:overlay val="0"/>
      <c:spPr>
        <a:noFill/>
        <a:ln>
          <a:noFill/>
        </a:ln>
        <a:effectLst/>
      </c:spPr>
      <c:txPr>
        <a:bodyPr rot="0" spcFirstLastPara="1" vertOverflow="ellipsis" vert="horz" wrap="square" anchor="ctr" anchorCtr="1"/>
        <a:lstStyle/>
        <a:p>
          <a:pPr>
            <a:defRPr sz="17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col"/>
        <c:grouping val="clustered"/>
        <c:varyColors val="0"/>
        <c:ser>
          <c:idx val="0"/>
          <c:order val="0"/>
          <c:tx>
            <c:strRef>
              <c:f>'Employee Pivut'!$B$3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Pivut'!$A$4:$A$9</c:f>
              <c:strCache>
                <c:ptCount val="5"/>
                <c:pt idx="0">
                  <c:v>Finance</c:v>
                </c:pt>
                <c:pt idx="1">
                  <c:v>HR</c:v>
                </c:pt>
                <c:pt idx="2">
                  <c:v>IT</c:v>
                </c:pt>
                <c:pt idx="3">
                  <c:v>Marketing</c:v>
                </c:pt>
                <c:pt idx="4">
                  <c:v>Sales</c:v>
                </c:pt>
              </c:strCache>
            </c:strRef>
          </c:cat>
          <c:val>
            <c:numRef>
              <c:f>'Employee Pivut'!$B$4:$B$9</c:f>
              <c:numCache>
                <c:formatCode>General</c:formatCode>
                <c:ptCount val="5"/>
                <c:pt idx="0">
                  <c:v>1</c:v>
                </c:pt>
                <c:pt idx="1">
                  <c:v>2</c:v>
                </c:pt>
                <c:pt idx="2">
                  <c:v>1</c:v>
                </c:pt>
                <c:pt idx="3">
                  <c:v>1</c:v>
                </c:pt>
                <c:pt idx="4">
                  <c:v>2</c:v>
                </c:pt>
              </c:numCache>
            </c:numRef>
          </c:val>
          <c:extLst>
            <c:ext xmlns:c16="http://schemas.microsoft.com/office/drawing/2014/chart" uri="{C3380CC4-5D6E-409C-BE32-E72D297353CC}">
              <c16:uniqueId val="{00000000-6F68-4F16-A1E2-24B6CAADC0BD}"/>
            </c:ext>
          </c:extLst>
        </c:ser>
        <c:dLbls>
          <c:showLegendKey val="0"/>
          <c:showVal val="0"/>
          <c:showCatName val="0"/>
          <c:showSerName val="0"/>
          <c:showPercent val="0"/>
          <c:showBubbleSize val="0"/>
        </c:dLbls>
        <c:gapWidth val="50"/>
        <c:overlap val="-27"/>
        <c:axId val="690905408"/>
        <c:axId val="690907328"/>
      </c:barChart>
      <c:catAx>
        <c:axId val="6909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07328"/>
        <c:crosses val="autoZero"/>
        <c:auto val="1"/>
        <c:lblAlgn val="ctr"/>
        <c:lblOffset val="100"/>
        <c:noMultiLvlLbl val="0"/>
      </c:catAx>
      <c:valAx>
        <c:axId val="690907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090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[HR_Employee_Tracker_Completed.xlsx]Employee Pivut!PivotTable6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
            </a:r>
            <a:r>
              <a:rPr lang="en-US" baseline="0"/>
              <a:t> of Present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alpha val="95000"/>
              </a:schemeClr>
            </a:solidFill>
            <a:round/>
          </a:ln>
          <a:effectLst/>
        </c:spPr>
        <c:marker>
          <c:symbol val="diamond"/>
          <c:size val="8"/>
          <c:spPr>
            <a:solidFill>
              <a:schemeClr val="accent3">
                <a:lumMod val="75000"/>
              </a:schemeClr>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Pivut'!$E$3</c:f>
              <c:strCache>
                <c:ptCount val="1"/>
                <c:pt idx="0">
                  <c:v>Total</c:v>
                </c:pt>
              </c:strCache>
            </c:strRef>
          </c:tx>
          <c:spPr>
            <a:ln w="28575" cap="rnd">
              <a:solidFill>
                <a:schemeClr val="accent3">
                  <a:lumMod val="75000"/>
                  <a:alpha val="95000"/>
                </a:schemeClr>
              </a:solidFill>
              <a:round/>
            </a:ln>
            <a:effectLst/>
          </c:spPr>
          <c:marker>
            <c:symbol val="diamond"/>
            <c:size val="8"/>
            <c:spPr>
              <a:solidFill>
                <a:schemeClr val="accent3">
                  <a:lumMod val="75000"/>
                </a:schemeClr>
              </a:solidFill>
              <a:ln w="349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Pivut'!$D$4:$D$9</c:f>
              <c:strCache>
                <c:ptCount val="5"/>
                <c:pt idx="0">
                  <c:v>Finance</c:v>
                </c:pt>
                <c:pt idx="1">
                  <c:v>HR</c:v>
                </c:pt>
                <c:pt idx="2">
                  <c:v>IT</c:v>
                </c:pt>
                <c:pt idx="3">
                  <c:v>Marketing</c:v>
                </c:pt>
                <c:pt idx="4">
                  <c:v>Sales</c:v>
                </c:pt>
              </c:strCache>
            </c:strRef>
          </c:cat>
          <c:val>
            <c:numRef>
              <c:f>'Employee Pivut'!$E$4:$E$9</c:f>
              <c:numCache>
                <c:formatCode>0%</c:formatCode>
                <c:ptCount val="5"/>
                <c:pt idx="0">
                  <c:v>0.97692307692307689</c:v>
                </c:pt>
                <c:pt idx="1">
                  <c:v>0.94230769230769229</c:v>
                </c:pt>
                <c:pt idx="2">
                  <c:v>0.7961538461538461</c:v>
                </c:pt>
                <c:pt idx="3">
                  <c:v>0.81538461538461537</c:v>
                </c:pt>
                <c:pt idx="4">
                  <c:v>0.87692307692307692</c:v>
                </c:pt>
              </c:numCache>
            </c:numRef>
          </c:val>
          <c:smooth val="0"/>
          <c:extLst>
            <c:ext xmlns:c16="http://schemas.microsoft.com/office/drawing/2014/chart" uri="{C3380CC4-5D6E-409C-BE32-E72D297353CC}">
              <c16:uniqueId val="{00000000-05CC-41D5-99B7-1D1949FC18B0}"/>
            </c:ext>
          </c:extLst>
        </c:ser>
        <c:dLbls>
          <c:showLegendKey val="0"/>
          <c:showVal val="0"/>
          <c:showCatName val="0"/>
          <c:showSerName val="0"/>
          <c:showPercent val="0"/>
          <c:showBubbleSize val="0"/>
        </c:dLbls>
        <c:marker val="1"/>
        <c:smooth val="0"/>
        <c:axId val="690925088"/>
        <c:axId val="690901568"/>
      </c:lineChart>
      <c:catAx>
        <c:axId val="6909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690901568"/>
        <c:crosses val="autoZero"/>
        <c:auto val="1"/>
        <c:lblAlgn val="ctr"/>
        <c:lblOffset val="100"/>
        <c:noMultiLvlLbl val="0"/>
      </c:catAx>
      <c:valAx>
        <c:axId val="6909015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092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[HR_Employee_Tracker_Completed.xlsx]Employee Pivut!PivotTable3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3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Pivut'!$H$3</c:f>
              <c:strCache>
                <c:ptCount val="1"/>
                <c:pt idx="0">
                  <c:v>Total</c:v>
                </c:pt>
              </c:strCache>
            </c:strRef>
          </c:tx>
          <c:spPr>
            <a:solidFill>
              <a:srgbClr val="D339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Pivut'!$G$4:$G$9</c:f>
              <c:strCache>
                <c:ptCount val="5"/>
                <c:pt idx="0">
                  <c:v>Finance</c:v>
                </c:pt>
                <c:pt idx="1">
                  <c:v>HR</c:v>
                </c:pt>
                <c:pt idx="2">
                  <c:v>IT</c:v>
                </c:pt>
                <c:pt idx="3">
                  <c:v>Marketing</c:v>
                </c:pt>
                <c:pt idx="4">
                  <c:v>Sales</c:v>
                </c:pt>
              </c:strCache>
            </c:strRef>
          </c:cat>
          <c:val>
            <c:numRef>
              <c:f>'Employee Pivut'!$H$4:$H$9</c:f>
              <c:numCache>
                <c:formatCode>\£#,##0</c:formatCode>
                <c:ptCount val="5"/>
                <c:pt idx="0">
                  <c:v>56814</c:v>
                </c:pt>
                <c:pt idx="1">
                  <c:v>56065.5</c:v>
                </c:pt>
                <c:pt idx="2">
                  <c:v>26776</c:v>
                </c:pt>
                <c:pt idx="3">
                  <c:v>54815</c:v>
                </c:pt>
                <c:pt idx="4">
                  <c:v>46087.5</c:v>
                </c:pt>
              </c:numCache>
            </c:numRef>
          </c:val>
          <c:extLst>
            <c:ext xmlns:c16="http://schemas.microsoft.com/office/drawing/2014/chart" uri="{C3380CC4-5D6E-409C-BE32-E72D297353CC}">
              <c16:uniqueId val="{00000000-9C76-4FB7-91B7-50A6AF6E5DF5}"/>
            </c:ext>
          </c:extLst>
        </c:ser>
        <c:dLbls>
          <c:showLegendKey val="0"/>
          <c:showVal val="0"/>
          <c:showCatName val="0"/>
          <c:showSerName val="0"/>
          <c:showPercent val="0"/>
          <c:showBubbleSize val="0"/>
        </c:dLbls>
        <c:gapWidth val="50"/>
        <c:axId val="690902528"/>
        <c:axId val="690929888"/>
      </c:barChart>
      <c:catAx>
        <c:axId val="69090252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D339B6"/>
                </a:solidFill>
                <a:latin typeface="+mn-lt"/>
                <a:ea typeface="+mn-ea"/>
                <a:cs typeface="+mn-cs"/>
              </a:defRPr>
            </a:pPr>
            <a:endParaRPr lang="en-US"/>
          </a:p>
        </c:txPr>
        <c:crossAx val="690929888"/>
        <c:crosses val="autoZero"/>
        <c:auto val="1"/>
        <c:lblAlgn val="ctr"/>
        <c:lblOffset val="0"/>
        <c:tickLblSkip val="1"/>
        <c:noMultiLvlLbl val="0"/>
      </c:catAx>
      <c:valAx>
        <c:axId val="6909298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090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rgbClr val="D339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[HR_Employee_Tracker_Completed.xlsx]Employee Pivut!PivotTable4</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Average</a:t>
            </a:r>
            <a:r>
              <a:rPr lang="en-US" baseline="0"/>
              <a:t> Performance</a:t>
            </a:r>
            <a:endParaRPr lang="en-US"/>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6">
                <a:lumMod val="75000"/>
              </a:schemeClr>
            </a:solidFill>
            <a:round/>
          </a:ln>
          <a:effectLst/>
        </c:spPr>
        <c:marker>
          <c:symbol val="circle"/>
          <c:size val="17"/>
          <c:spPr>
            <a:solidFill>
              <a:schemeClr val="accent6">
                <a:lumMod val="7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Pivut'!$B$13</c:f>
              <c:strCache>
                <c:ptCount val="1"/>
                <c:pt idx="0">
                  <c:v>Total</c:v>
                </c:pt>
              </c:strCache>
            </c:strRef>
          </c:tx>
          <c:spPr>
            <a:ln w="19050" cap="rnd" cmpd="sng" algn="ctr">
              <a:solidFill>
                <a:schemeClr val="accent6">
                  <a:lumMod val="75000"/>
                </a:schemeClr>
              </a:solidFill>
              <a:round/>
            </a:ln>
            <a:effectLst/>
          </c:spPr>
          <c:marker>
            <c:symbol val="circle"/>
            <c:size val="17"/>
            <c:spPr>
              <a:solidFill>
                <a:schemeClr val="accent6">
                  <a:lumMod val="7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'Employee Pivut'!$A$14:$A$19</c:f>
              <c:strCache>
                <c:ptCount val="5"/>
                <c:pt idx="0">
                  <c:v>Finance</c:v>
                </c:pt>
                <c:pt idx="1">
                  <c:v>HR</c:v>
                </c:pt>
                <c:pt idx="2">
                  <c:v>IT</c:v>
                </c:pt>
                <c:pt idx="3">
                  <c:v>Marketing</c:v>
                </c:pt>
                <c:pt idx="4">
                  <c:v>Sales</c:v>
                </c:pt>
              </c:strCache>
            </c:strRef>
          </c:cat>
          <c:val>
            <c:numRef>
              <c:f>'Employee Pivut'!$B$14:$B$19</c:f>
              <c:numCache>
                <c:formatCode>0.00</c:formatCode>
                <c:ptCount val="5"/>
                <c:pt idx="0">
                  <c:v>4.4000000000000004</c:v>
                </c:pt>
                <c:pt idx="1">
                  <c:v>3.7</c:v>
                </c:pt>
                <c:pt idx="2">
                  <c:v>4.2</c:v>
                </c:pt>
                <c:pt idx="3">
                  <c:v>3</c:v>
                </c:pt>
                <c:pt idx="4">
                  <c:v>4.1500000000000004</c:v>
                </c:pt>
              </c:numCache>
            </c:numRef>
          </c:val>
          <c:smooth val="0"/>
          <c:extLst>
            <c:ext xmlns:c16="http://schemas.microsoft.com/office/drawing/2014/chart" uri="{C3380CC4-5D6E-409C-BE32-E72D297353CC}">
              <c16:uniqueId val="{00000000-D282-465D-ACB5-9D609534FC0E}"/>
            </c:ext>
          </c:extLst>
        </c:ser>
        <c:dLbls>
          <c:dLblPos val="ctr"/>
          <c:showLegendKey val="0"/>
          <c:showVal val="1"/>
          <c:showCatName val="0"/>
          <c:showSerName val="0"/>
          <c:showPercent val="0"/>
          <c:showBubbleSize val="0"/>
        </c:dLbls>
        <c:marker val="1"/>
        <c:smooth val="0"/>
        <c:axId val="690930368"/>
        <c:axId val="690920768"/>
      </c:lineChart>
      <c:catAx>
        <c:axId val="690930368"/>
        <c:scaling>
          <c:orientation val="minMax"/>
        </c:scaling>
        <c:delete val="0"/>
        <c:axPos val="b"/>
        <c:numFmt formatCode="General" sourceLinked="1"/>
        <c:majorTickMark val="none"/>
        <c:minorTickMark val="none"/>
        <c:tickLblPos val="nextTo"/>
        <c:spPr>
          <a:noFill/>
          <a:ln w="22225" cap="flat" cmpd="sng" algn="ctr">
            <a:solidFill>
              <a:schemeClr val="accent6">
                <a:lumMod val="75000"/>
              </a:schemeClr>
            </a:solidFill>
            <a:round/>
          </a:ln>
          <a:effectLst/>
        </c:spPr>
        <c:txPr>
          <a:bodyPr rot="-60000000" spcFirstLastPara="1" vertOverflow="ellipsis" vert="horz" wrap="square" anchor="ctr" anchorCtr="1"/>
          <a:lstStyle/>
          <a:p>
            <a:pPr>
              <a:defRPr sz="1000" b="0" i="0" u="none" strike="noStrike" kern="1200" baseline="0">
                <a:solidFill>
                  <a:schemeClr val="accent6">
                    <a:lumMod val="75000"/>
                  </a:schemeClr>
                </a:solidFill>
                <a:latin typeface="+mn-lt"/>
                <a:ea typeface="+mn-ea"/>
                <a:cs typeface="+mn-cs"/>
              </a:defRPr>
            </a:pPr>
            <a:endParaRPr lang="en-US"/>
          </a:p>
        </c:txPr>
        <c:crossAx val="690920768"/>
        <c:crosses val="autoZero"/>
        <c:auto val="1"/>
        <c:lblAlgn val="ctr"/>
        <c:lblOffset val="100"/>
        <c:noMultiLvlLbl val="0"/>
      </c:catAx>
      <c:valAx>
        <c:axId val="690920768"/>
        <c:scaling>
          <c:orientation val="minMax"/>
        </c:scaling>
        <c:delete val="1"/>
        <c:axPos val="l"/>
        <c:numFmt formatCode="0.00" sourceLinked="1"/>
        <c:majorTickMark val="none"/>
        <c:minorTickMark val="none"/>
        <c:tickLblPos val="nextTo"/>
        <c:crossAx val="69093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[HR_Employee_Tracker_Completed.xlsx]Employee Pivut!PivotTable5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Absent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chemeClr val="tx2">
                <a:lumMod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60000"/>
              <a:lumOff val="40000"/>
            </a:schemeClr>
          </a:solidFill>
          <a:ln>
            <a:solidFill>
              <a:schemeClr val="tx2">
                <a:lumMod val="50000"/>
              </a:schemeClr>
            </a:solidFill>
          </a:ln>
          <a:effectLst/>
        </c:spPr>
      </c:pivotFmt>
    </c:pivotFmts>
    <c:plotArea>
      <c:layout>
        <c:manualLayout>
          <c:layoutTarget val="inner"/>
          <c:xMode val="edge"/>
          <c:yMode val="edge"/>
          <c:x val="0.11210870516185477"/>
          <c:y val="0.16245370370370371"/>
          <c:w val="0.8455161854768154"/>
          <c:h val="0.67003098571011954"/>
        </c:manualLayout>
      </c:layout>
      <c:areaChart>
        <c:grouping val="standard"/>
        <c:varyColors val="0"/>
        <c:ser>
          <c:idx val="0"/>
          <c:order val="0"/>
          <c:tx>
            <c:strRef>
              <c:f>'Employee Pivut'!$E$13</c:f>
              <c:strCache>
                <c:ptCount val="1"/>
                <c:pt idx="0">
                  <c:v>Total</c:v>
                </c:pt>
              </c:strCache>
            </c:strRef>
          </c:tx>
          <c:spPr>
            <a:solidFill>
              <a:schemeClr val="tx2">
                <a:lumMod val="60000"/>
                <a:lumOff val="40000"/>
              </a:schemeClr>
            </a:solidFill>
            <a:ln>
              <a:solidFill>
                <a:schemeClr val="tx2">
                  <a:lumMod val="50000"/>
                </a:schemeClr>
              </a:solidFill>
            </a:ln>
            <a:effectLst/>
          </c:spPr>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'Employee Pivut'!$D$14:$D$19</c:f>
              <c:strCache>
                <c:ptCount val="5"/>
                <c:pt idx="0">
                  <c:v>Finance</c:v>
                </c:pt>
                <c:pt idx="1">
                  <c:v>HR</c:v>
                </c:pt>
                <c:pt idx="2">
                  <c:v>IT</c:v>
                </c:pt>
                <c:pt idx="3">
                  <c:v>Marketing</c:v>
                </c:pt>
                <c:pt idx="4">
                  <c:v>Sales</c:v>
                </c:pt>
              </c:strCache>
            </c:strRef>
          </c:cat>
          <c:val>
            <c:numRef>
              <c:f>'Employee Pivut'!$E$14:$E$19</c:f>
              <c:numCache>
                <c:formatCode>0.00</c:formatCode>
                <c:ptCount val="5"/>
                <c:pt idx="0">
                  <c:v>6</c:v>
                </c:pt>
                <c:pt idx="1">
                  <c:v>15</c:v>
                </c:pt>
                <c:pt idx="2">
                  <c:v>53</c:v>
                </c:pt>
                <c:pt idx="3">
                  <c:v>48</c:v>
                </c:pt>
                <c:pt idx="4">
                  <c:v>32</c:v>
                </c:pt>
              </c:numCache>
            </c:numRef>
          </c:val>
          <c:extLst>
            <c:ext xmlns:c16="http://schemas.microsoft.com/office/drawing/2014/chart" uri="{C3380CC4-5D6E-409C-BE32-E72D297353CC}">
              <c16:uniqueId val="{00000000-DB69-46C8-9134-60B685D4B662}"/>
            </c:ext>
          </c:extLst>
        </c:ser>
        <c:dLbls>
          <c:showLegendKey val="0"/>
          <c:showVal val="0"/>
          <c:showCatName val="0"/>
          <c:showSerName val="0"/>
          <c:showPercent val="0"/>
          <c:showBubbleSize val="0"/>
        </c:dLbls>
        <c:axId val="690914048"/>
        <c:axId val="690915488"/>
      </c:areaChart>
      <c:catAx>
        <c:axId val="690914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15488"/>
        <c:crosses val="autoZero"/>
        <c:auto val="1"/>
        <c:lblAlgn val="ctr"/>
        <c:lblOffset val="100"/>
        <c:noMultiLvlLbl val="0"/>
      </c:catAx>
      <c:valAx>
        <c:axId val="6909154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091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[HR_Employee_Tracker_Completed.xlsx]Sheet2!PivotTable20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2"/>
                </a:solidFill>
              </a:rPr>
              <a:t>Total</a:t>
            </a:r>
            <a:r>
              <a:rPr lang="en-US" sz="1600" b="1" baseline="0">
                <a:solidFill>
                  <a:schemeClr val="tx2"/>
                </a:solidFill>
              </a:rPr>
              <a:t> Employees</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Sheet2!$D$13</c:f>
              <c:strCache>
                <c:ptCount val="1"/>
                <c:pt idx="0">
                  <c:v>Total</c:v>
                </c:pt>
              </c:strCache>
            </c:strRef>
          </c:tx>
          <c:spPr>
            <a:solidFill>
              <a:srgbClr val="002060"/>
            </a:solidFill>
            <a:ln>
              <a:noFill/>
            </a:ln>
            <a:effectLst/>
          </c:spPr>
          <c:invertIfNegative val="0"/>
          <c:cat>
            <c:strRef>
              <c:f>Sheet2!$C$14:$C$19</c:f>
              <c:strCache>
                <c:ptCount val="5"/>
                <c:pt idx="0">
                  <c:v>Finance</c:v>
                </c:pt>
                <c:pt idx="1">
                  <c:v>HR</c:v>
                </c:pt>
                <c:pt idx="2">
                  <c:v>IT</c:v>
                </c:pt>
                <c:pt idx="3">
                  <c:v>Marketing</c:v>
                </c:pt>
                <c:pt idx="4">
                  <c:v>Sales</c:v>
                </c:pt>
              </c:strCache>
            </c:strRef>
          </c:cat>
          <c:val>
            <c:numRef>
              <c:f>Sheet2!$D$14:$D$19</c:f>
              <c:numCache>
                <c:formatCode>General</c:formatCode>
                <c:ptCount val="5"/>
                <c:pt idx="0">
                  <c:v>1</c:v>
                </c:pt>
                <c:pt idx="1">
                  <c:v>2</c:v>
                </c:pt>
                <c:pt idx="2">
                  <c:v>1</c:v>
                </c:pt>
                <c:pt idx="3">
                  <c:v>1</c:v>
                </c:pt>
                <c:pt idx="4">
                  <c:v>2</c:v>
                </c:pt>
              </c:numCache>
            </c:numRef>
          </c:val>
          <c:extLst>
            <c:ext xmlns:c16="http://schemas.microsoft.com/office/drawing/2014/chart" uri="{C3380CC4-5D6E-409C-BE32-E72D297353CC}">
              <c16:uniqueId val="{00000000-E965-42C7-8D5D-45389AE78BA0}"/>
            </c:ext>
          </c:extLst>
        </c:ser>
        <c:dLbls>
          <c:showLegendKey val="0"/>
          <c:showVal val="0"/>
          <c:showCatName val="0"/>
          <c:showSerName val="0"/>
          <c:showPercent val="0"/>
          <c:showBubbleSize val="0"/>
        </c:dLbls>
        <c:gapWidth val="80"/>
        <c:overlap val="100"/>
        <c:axId val="2112769631"/>
        <c:axId val="2112775391"/>
      </c:barChart>
      <c:catAx>
        <c:axId val="211276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2112775391"/>
        <c:crosses val="autoZero"/>
        <c:auto val="0"/>
        <c:lblAlgn val="ctr"/>
        <c:lblOffset val="100"/>
        <c:noMultiLvlLbl val="0"/>
      </c:catAx>
      <c:valAx>
        <c:axId val="21127753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276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[HR_Employee_Tracker_Completed.xlsx]Sheet2!PivotTable22</c:name>
    <c:fmtId val="4"/>
  </c:pivotSource>
  <c:chart>
    <c:title>
      <c:tx>
        <c:rich>
          <a:bodyPr rot="0" spcFirstLastPara="1" vertOverflow="ellipsis" vert="horz" wrap="square" anchor="ctr" anchorCtr="1"/>
          <a:lstStyle/>
          <a:p>
            <a:pPr>
              <a:defRPr sz="1400" b="1" i="0" u="none" strike="noStrike" kern="1200" cap="none" baseline="0">
                <a:solidFill>
                  <a:srgbClr val="002060"/>
                </a:solidFill>
                <a:latin typeface="+mn-lt"/>
                <a:ea typeface="+mn-ea"/>
                <a:cs typeface="+mn-cs"/>
              </a:defRPr>
            </a:pPr>
            <a:r>
              <a:rPr lang="en-US">
                <a:solidFill>
                  <a:srgbClr val="002060"/>
                </a:solidFill>
              </a:rPr>
              <a:t>Average Performance Score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002060"/>
              </a:solidFill>
              <a:latin typeface="+mn-lt"/>
              <a:ea typeface="+mn-ea"/>
              <a:cs typeface="+mn-cs"/>
            </a:defRPr>
          </a:pPr>
          <a:endParaRPr lang="en-US"/>
        </a:p>
      </c:txPr>
    </c:title>
    <c:autoTitleDeleted val="0"/>
    <c:pivotFmts>
      <c:pivotFmt>
        <c:idx val="0"/>
        <c:spPr>
          <a:noFill/>
          <a:ln w="22225" cap="rnd" cmpd="sng" algn="ctr">
            <a:solidFill>
              <a:srgbClr val="002060"/>
            </a:solidFill>
            <a:miter lim="800000"/>
          </a:ln>
          <a:effectLst>
            <a:glow rad="139700">
              <a:schemeClr val="accent1">
                <a:satMod val="175000"/>
                <a:alpha val="14000"/>
              </a:schemeClr>
            </a:glow>
          </a:effectLst>
        </c:spPr>
        <c:marker>
          <c:symbol val="circle"/>
          <c:size val="4"/>
          <c:spPr>
            <a:solidFill>
              <a:srgbClr val="00206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rgbClr val="002060"/>
            </a:solidFill>
            <a:miter lim="800000"/>
          </a:ln>
          <a:effectLst>
            <a:glow rad="139700">
              <a:schemeClr val="accent1">
                <a:satMod val="175000"/>
                <a:alpha val="14000"/>
              </a:schemeClr>
            </a:glow>
          </a:effectLst>
        </c:spPr>
        <c:marker>
          <c:symbol val="circle"/>
          <c:size val="4"/>
          <c:spPr>
            <a:solidFill>
              <a:srgbClr val="00206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rgbClr val="002060"/>
            </a:solidFill>
          </a:ln>
          <a:effectLst>
            <a:glow rad="139700">
              <a:schemeClr val="accent1">
                <a:satMod val="175000"/>
                <a:alpha val="14000"/>
              </a:schemeClr>
            </a:glow>
          </a:effectLst>
        </c:spPr>
        <c:marker>
          <c:symbol val="circle"/>
          <c:size val="4"/>
          <c:spPr>
            <a:solidFill>
              <a:srgbClr val="00206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Sheet2!$G$13</c:f>
              <c:strCache>
                <c:ptCount val="1"/>
                <c:pt idx="0">
                  <c:v>Total</c:v>
                </c:pt>
              </c:strCache>
            </c:strRef>
          </c:tx>
          <c:spPr>
            <a:ln w="22225" cap="rnd">
              <a:solidFill>
                <a:srgbClr val="002060"/>
              </a:solidFill>
            </a:ln>
            <a:effectLst>
              <a:glow rad="139700">
                <a:schemeClr val="accent1">
                  <a:satMod val="175000"/>
                  <a:alpha val="14000"/>
                </a:schemeClr>
              </a:glow>
            </a:effectLst>
          </c:spPr>
          <c:marker>
            <c:symbol val="circle"/>
            <c:size val="4"/>
            <c:spPr>
              <a:solidFill>
                <a:srgbClr val="002060"/>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Sheet2!$F$14:$F$19</c:f>
              <c:strCache>
                <c:ptCount val="5"/>
                <c:pt idx="0">
                  <c:v>Finance</c:v>
                </c:pt>
                <c:pt idx="1">
                  <c:v>HR</c:v>
                </c:pt>
                <c:pt idx="2">
                  <c:v>IT</c:v>
                </c:pt>
                <c:pt idx="3">
                  <c:v>Marketing</c:v>
                </c:pt>
                <c:pt idx="4">
                  <c:v>Sales</c:v>
                </c:pt>
              </c:strCache>
            </c:strRef>
          </c:cat>
          <c:val>
            <c:numRef>
              <c:f>Sheet2!$G$14:$G$19</c:f>
              <c:numCache>
                <c:formatCode>0.00</c:formatCode>
                <c:ptCount val="5"/>
                <c:pt idx="0">
                  <c:v>4.4000000000000004</c:v>
                </c:pt>
                <c:pt idx="1">
                  <c:v>3.7</c:v>
                </c:pt>
                <c:pt idx="2">
                  <c:v>4.2</c:v>
                </c:pt>
                <c:pt idx="3">
                  <c:v>3</c:v>
                </c:pt>
                <c:pt idx="4">
                  <c:v>4.1500000000000004</c:v>
                </c:pt>
              </c:numCache>
            </c:numRef>
          </c:val>
          <c:smooth val="0"/>
          <c:extLst>
            <c:ext xmlns:c16="http://schemas.microsoft.com/office/drawing/2014/chart" uri="{C3380CC4-5D6E-409C-BE32-E72D297353CC}">
              <c16:uniqueId val="{00000000-05A2-4AE1-BEDC-C47BD465FA2D}"/>
            </c:ext>
          </c:extLst>
        </c:ser>
        <c:dLbls>
          <c:showLegendKey val="0"/>
          <c:showVal val="0"/>
          <c:showCatName val="0"/>
          <c:showSerName val="0"/>
          <c:showPercent val="0"/>
          <c:showBubbleSize val="0"/>
        </c:dLbls>
        <c:marker val="1"/>
        <c:smooth val="0"/>
        <c:axId val="2112749951"/>
        <c:axId val="2112750431"/>
      </c:lineChart>
      <c:catAx>
        <c:axId val="211274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2112750431"/>
        <c:crosses val="autoZero"/>
        <c:auto val="1"/>
        <c:lblAlgn val="ctr"/>
        <c:lblOffset val="100"/>
        <c:noMultiLvlLbl val="0"/>
      </c:catAx>
      <c:valAx>
        <c:axId val="2112750431"/>
        <c:scaling>
          <c:orientation val="minMax"/>
        </c:scaling>
        <c:delete val="1"/>
        <c:axPos val="l"/>
        <c:numFmt formatCode="0.00" sourceLinked="1"/>
        <c:majorTickMark val="none"/>
        <c:minorTickMark val="none"/>
        <c:tickLblPos val="nextTo"/>
        <c:crossAx val="2112749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[HR_Employee_Tracker_Completed.xlsx]Sheet2!PivotTable21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1">
                    <a:lumMod val="75000"/>
                  </a:schemeClr>
                </a:solidFill>
              </a:rPr>
              <a:t>Average Salaries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Sheet2!$F$4:$F$9</c:f>
              <c:strCache>
                <c:ptCount val="5"/>
                <c:pt idx="0">
                  <c:v>Finance</c:v>
                </c:pt>
                <c:pt idx="1">
                  <c:v>HR</c:v>
                </c:pt>
                <c:pt idx="2">
                  <c:v>IT</c:v>
                </c:pt>
                <c:pt idx="3">
                  <c:v>Marketing</c:v>
                </c:pt>
                <c:pt idx="4">
                  <c:v>Sales</c:v>
                </c:pt>
              </c:strCache>
            </c:strRef>
          </c:cat>
          <c:val>
            <c:numRef>
              <c:f>Sheet2!$G$4:$G$9</c:f>
              <c:numCache>
                <c:formatCode>\£#,##0</c:formatCode>
                <c:ptCount val="5"/>
                <c:pt idx="0">
                  <c:v>56814</c:v>
                </c:pt>
                <c:pt idx="1">
                  <c:v>56065.5</c:v>
                </c:pt>
                <c:pt idx="2">
                  <c:v>26776</c:v>
                </c:pt>
                <c:pt idx="3">
                  <c:v>54815</c:v>
                </c:pt>
                <c:pt idx="4">
                  <c:v>46087.5</c:v>
                </c:pt>
              </c:numCache>
            </c:numRef>
          </c:val>
          <c:extLst>
            <c:ext xmlns:c16="http://schemas.microsoft.com/office/drawing/2014/chart" uri="{C3380CC4-5D6E-409C-BE32-E72D297353CC}">
              <c16:uniqueId val="{00000000-46F0-411E-859C-1F61D90F6450}"/>
            </c:ext>
          </c:extLst>
        </c:ser>
        <c:dLbls>
          <c:showLegendKey val="0"/>
          <c:showVal val="0"/>
          <c:showCatName val="0"/>
          <c:showSerName val="0"/>
          <c:showPercent val="0"/>
          <c:showBubbleSize val="0"/>
        </c:dLbls>
        <c:gapWidth val="75"/>
        <c:axId val="242651775"/>
        <c:axId val="242659455"/>
      </c:barChart>
      <c:catAx>
        <c:axId val="24265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242659455"/>
        <c:crosses val="autoZero"/>
        <c:auto val="1"/>
        <c:lblAlgn val="ctr"/>
        <c:lblOffset val="100"/>
        <c:noMultiLvlLbl val="0"/>
      </c:catAx>
      <c:valAx>
        <c:axId val="242659455"/>
        <c:scaling>
          <c:orientation val="minMax"/>
        </c:scaling>
        <c:delete val="1"/>
        <c:axPos val="b"/>
        <c:numFmt formatCode="\£#,##0" sourceLinked="1"/>
        <c:majorTickMark val="none"/>
        <c:minorTickMark val="none"/>
        <c:tickLblPos val="nextTo"/>
        <c:crossAx val="2426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[HR_Employee_Tracker_Completed.xlsx]Sheet2!PivotTable23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Average</a:t>
            </a:r>
            <a:r>
              <a:rPr lang="en-US" b="1" baseline="0">
                <a:solidFill>
                  <a:schemeClr val="tx2">
                    <a:lumMod val="75000"/>
                  </a:schemeClr>
                </a:solidFill>
              </a:rPr>
              <a:t> of Absent Days</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cmpd="thickThin">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thickThin">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cmpd="thickThin">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Sheet2!$J$3</c:f>
              <c:strCache>
                <c:ptCount val="1"/>
                <c:pt idx="0">
                  <c:v>Total</c:v>
                </c:pt>
              </c:strCache>
            </c:strRef>
          </c:tx>
          <c:spPr>
            <a:ln w="28575" cap="rnd" cmpd="thickThin">
              <a:solidFill>
                <a:schemeClr val="accent1">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Sheet2!$I$4:$I$9</c:f>
              <c:strCache>
                <c:ptCount val="5"/>
                <c:pt idx="0">
                  <c:v>Finance</c:v>
                </c:pt>
                <c:pt idx="1">
                  <c:v>HR</c:v>
                </c:pt>
                <c:pt idx="2">
                  <c:v>IT</c:v>
                </c:pt>
                <c:pt idx="3">
                  <c:v>Marketing</c:v>
                </c:pt>
                <c:pt idx="4">
                  <c:v>Sales</c:v>
                </c:pt>
              </c:strCache>
            </c:strRef>
          </c:cat>
          <c:val>
            <c:numRef>
              <c:f>Sheet2!$J$4:$J$9</c:f>
              <c:numCache>
                <c:formatCode>0.00</c:formatCode>
                <c:ptCount val="5"/>
                <c:pt idx="0">
                  <c:v>6</c:v>
                </c:pt>
                <c:pt idx="1">
                  <c:v>15</c:v>
                </c:pt>
                <c:pt idx="2">
                  <c:v>53</c:v>
                </c:pt>
                <c:pt idx="3">
                  <c:v>48</c:v>
                </c:pt>
                <c:pt idx="4">
                  <c:v>32</c:v>
                </c:pt>
              </c:numCache>
            </c:numRef>
          </c:val>
          <c:extLst>
            <c:ext xmlns:c16="http://schemas.microsoft.com/office/drawing/2014/chart" uri="{C3380CC4-5D6E-409C-BE32-E72D297353CC}">
              <c16:uniqueId val="{00000000-2C4D-4C2C-B449-B93CB2235018}"/>
            </c:ext>
          </c:extLst>
        </c:ser>
        <c:dLbls>
          <c:showLegendKey val="0"/>
          <c:showVal val="0"/>
          <c:showCatName val="0"/>
          <c:showSerName val="0"/>
          <c:showPercent val="0"/>
          <c:showBubbleSize val="0"/>
        </c:dLbls>
        <c:axId val="242706015"/>
        <c:axId val="242705055"/>
      </c:radarChart>
      <c:catAx>
        <c:axId val="24270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75000"/>
                  </a:schemeClr>
                </a:solidFill>
                <a:latin typeface="+mn-lt"/>
                <a:ea typeface="+mn-ea"/>
                <a:cs typeface="+mn-cs"/>
              </a:defRPr>
            </a:pPr>
            <a:endParaRPr lang="en-US"/>
          </a:p>
        </c:txPr>
        <c:crossAx val="242705055"/>
        <c:crosses val="autoZero"/>
        <c:auto val="1"/>
        <c:lblAlgn val="ctr"/>
        <c:lblOffset val="100"/>
        <c:noMultiLvlLbl val="0"/>
      </c:catAx>
      <c:valAx>
        <c:axId val="24270505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4270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28574</xdr:rowOff>
    </xdr:from>
    <xdr:to>
      <xdr:col>19</xdr:col>
      <xdr:colOff>561975</xdr:colOff>
      <xdr:row>34</xdr:row>
      <xdr:rowOff>190499</xdr:rowOff>
    </xdr:to>
    <xdr:sp macro="" textlink="">
      <xdr:nvSpPr>
        <xdr:cNvPr id="2" name="Rectangle 1">
          <a:extLst>
            <a:ext uri="{FF2B5EF4-FFF2-40B4-BE49-F238E27FC236}">
              <a16:creationId xmlns:a16="http://schemas.microsoft.com/office/drawing/2014/main" id="{A457C0E6-D771-28F2-7865-D7F90307CFB1}"/>
            </a:ext>
          </a:extLst>
        </xdr:cNvPr>
        <xdr:cNvSpPr/>
      </xdr:nvSpPr>
      <xdr:spPr>
        <a:xfrm>
          <a:off x="28575" y="28574"/>
          <a:ext cx="12115800" cy="663892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19050</xdr:colOff>
      <xdr:row>0</xdr:row>
      <xdr:rowOff>28574</xdr:rowOff>
    </xdr:from>
    <xdr:to>
      <xdr:col>19</xdr:col>
      <xdr:colOff>571500</xdr:colOff>
      <xdr:row>4</xdr:row>
      <xdr:rowOff>152399</xdr:rowOff>
    </xdr:to>
    <xdr:sp macro="" textlink="">
      <xdr:nvSpPr>
        <xdr:cNvPr id="3" name="Rectangle 2">
          <a:extLst>
            <a:ext uri="{FF2B5EF4-FFF2-40B4-BE49-F238E27FC236}">
              <a16:creationId xmlns:a16="http://schemas.microsoft.com/office/drawing/2014/main" id="{84C0C764-57C2-5A94-FC53-C61AB452DD9E}"/>
            </a:ext>
          </a:extLst>
        </xdr:cNvPr>
        <xdr:cNvSpPr/>
      </xdr:nvSpPr>
      <xdr:spPr>
        <a:xfrm>
          <a:off x="19050" y="28574"/>
          <a:ext cx="12134850" cy="885825"/>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333375</xdr:colOff>
      <xdr:row>0</xdr:row>
      <xdr:rowOff>38100</xdr:rowOff>
    </xdr:from>
    <xdr:to>
      <xdr:col>16</xdr:col>
      <xdr:colOff>152400</xdr:colOff>
      <xdr:row>4</xdr:row>
      <xdr:rowOff>123825</xdr:rowOff>
    </xdr:to>
    <xdr:sp macro="" textlink="">
      <xdr:nvSpPr>
        <xdr:cNvPr id="4" name="TextBox 3">
          <a:extLst>
            <a:ext uri="{FF2B5EF4-FFF2-40B4-BE49-F238E27FC236}">
              <a16:creationId xmlns:a16="http://schemas.microsoft.com/office/drawing/2014/main" id="{8D2234A1-8237-809C-083D-1178B5A7EF6C}"/>
            </a:ext>
          </a:extLst>
        </xdr:cNvPr>
        <xdr:cNvSpPr txBox="1"/>
      </xdr:nvSpPr>
      <xdr:spPr>
        <a:xfrm>
          <a:off x="2771775" y="38100"/>
          <a:ext cx="7134225" cy="8477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a:solidFill>
                <a:schemeClr val="bg1"/>
              </a:solidFill>
            </a:rPr>
            <a:t>HR EMPLOYEE</a:t>
          </a:r>
          <a:r>
            <a:rPr lang="en-GB" sz="5000" baseline="0">
              <a:solidFill>
                <a:schemeClr val="bg1"/>
              </a:solidFill>
            </a:rPr>
            <a:t> TRACKER</a:t>
          </a:r>
        </a:p>
      </xdr:txBody>
    </xdr:sp>
    <xdr:clientData/>
  </xdr:twoCellAnchor>
  <xdr:twoCellAnchor>
    <xdr:from>
      <xdr:col>3</xdr:col>
      <xdr:colOff>161924</xdr:colOff>
      <xdr:row>4</xdr:row>
      <xdr:rowOff>180975</xdr:rowOff>
    </xdr:from>
    <xdr:to>
      <xdr:col>11</xdr:col>
      <xdr:colOff>133349</xdr:colOff>
      <xdr:row>19</xdr:row>
      <xdr:rowOff>66675</xdr:rowOff>
    </xdr:to>
    <xdr:graphicFrame macro="">
      <xdr:nvGraphicFramePr>
        <xdr:cNvPr id="6" name="Chart 5">
          <a:extLst>
            <a:ext uri="{FF2B5EF4-FFF2-40B4-BE49-F238E27FC236}">
              <a16:creationId xmlns:a16="http://schemas.microsoft.com/office/drawing/2014/main" id="{1A991E23-1311-43C2-B5C5-8995942B7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219075</xdr:colOff>
      <xdr:row>4</xdr:row>
      <xdr:rowOff>180975</xdr:rowOff>
    </xdr:from>
    <xdr:to>
      <xdr:col>19</xdr:col>
      <xdr:colOff>19050</xdr:colOff>
      <xdr:row>19</xdr:row>
      <xdr:rowOff>66675</xdr:rowOff>
    </xdr:to>
    <xdr:graphicFrame macro="">
      <xdr:nvGraphicFramePr>
        <xdr:cNvPr id="7" name="Chart 6">
          <a:extLst>
            <a:ext uri="{FF2B5EF4-FFF2-40B4-BE49-F238E27FC236}">
              <a16:creationId xmlns:a16="http://schemas.microsoft.com/office/drawing/2014/main" id="{13701D7B-B8A4-44B0-86FF-437F6CCB5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19052</xdr:colOff>
      <xdr:row>19</xdr:row>
      <xdr:rowOff>114299</xdr:rowOff>
    </xdr:from>
    <xdr:to>
      <xdr:col>6</xdr:col>
      <xdr:colOff>123826</xdr:colOff>
      <xdr:row>33</xdr:row>
      <xdr:rowOff>190499</xdr:rowOff>
    </xdr:to>
    <xdr:graphicFrame macro="">
      <xdr:nvGraphicFramePr>
        <xdr:cNvPr id="8" name="Chart 7">
          <a:extLst>
            <a:ext uri="{FF2B5EF4-FFF2-40B4-BE49-F238E27FC236}">
              <a16:creationId xmlns:a16="http://schemas.microsoft.com/office/drawing/2014/main" id="{7D961E76-1DC4-4509-8F25-C82C3E730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219075</xdr:colOff>
      <xdr:row>19</xdr:row>
      <xdr:rowOff>114298</xdr:rowOff>
    </xdr:from>
    <xdr:to>
      <xdr:col>11</xdr:col>
      <xdr:colOff>514350</xdr:colOff>
      <xdr:row>33</xdr:row>
      <xdr:rowOff>180975</xdr:rowOff>
    </xdr:to>
    <xdr:graphicFrame macro="">
      <xdr:nvGraphicFramePr>
        <xdr:cNvPr id="9" name="Chart 8">
          <a:extLst>
            <a:ext uri="{FF2B5EF4-FFF2-40B4-BE49-F238E27FC236}">
              <a16:creationId xmlns:a16="http://schemas.microsoft.com/office/drawing/2014/main" id="{F6751829-6230-4B5F-BF48-B624B13F0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xdr:colOff>
      <xdr:row>19</xdr:row>
      <xdr:rowOff>123824</xdr:rowOff>
    </xdr:from>
    <xdr:to>
      <xdr:col>19</xdr:col>
      <xdr:colOff>314325</xdr:colOff>
      <xdr:row>34</xdr:row>
      <xdr:rowOff>9524</xdr:rowOff>
    </xdr:to>
    <xdr:graphicFrame macro="">
      <xdr:nvGraphicFramePr>
        <xdr:cNvPr id="10" name="Chart 9">
          <a:extLst>
            <a:ext uri="{FF2B5EF4-FFF2-40B4-BE49-F238E27FC236}">
              <a16:creationId xmlns:a16="http://schemas.microsoft.com/office/drawing/2014/main" id="{A5EB3456-2F3F-4B37-92F9-DD375EB06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5</xdr:row>
      <xdr:rowOff>28576</xdr:rowOff>
    </xdr:from>
    <xdr:to>
      <xdr:col>3</xdr:col>
      <xdr:colOff>114300</xdr:colOff>
      <xdr:row>19</xdr:row>
      <xdr:rowOff>19050</xdr:rowOff>
    </xdr:to>
    <mc:AlternateContent xmlns:mc="http://schemas.openxmlformats.org/markup-compatibility/2006" xmlns:a14="http://schemas.microsoft.com/office/drawing/2010/main">
      <mc:Choice Requires="a14">
        <xdr:graphicFrame macro="">
          <xdr:nvGraphicFramePr>
            <xdr:cNvPr id="11" name="Role">
              <a:extLst>
                <a:ext uri="{FF2B5EF4-FFF2-40B4-BE49-F238E27FC236}">
                  <a16:creationId xmlns:a16="http://schemas.microsoft.com/office/drawing/2014/main" id="{1C064A80-43E9-464C-AEB7-90E04A9625A3}"/>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57150" y="981076"/>
              <a:ext cx="1885950" cy="2657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0</xdr:colOff>
      <xdr:row>38</xdr:row>
      <xdr:rowOff>76200</xdr:rowOff>
    </xdr:to>
    <xdr:sp macro="" textlink="">
      <xdr:nvSpPr>
        <xdr:cNvPr id="2" name="Rectangle 1">
          <a:extLst>
            <a:ext uri="{FF2B5EF4-FFF2-40B4-BE49-F238E27FC236}">
              <a16:creationId xmlns:a16="http://schemas.microsoft.com/office/drawing/2014/main" id="{CBEAFD4A-AF81-74E0-B144-34983F58ABF8}"/>
            </a:ext>
          </a:extLst>
        </xdr:cNvPr>
        <xdr:cNvSpPr/>
      </xdr:nvSpPr>
      <xdr:spPr>
        <a:xfrm>
          <a:off x="0" y="0"/>
          <a:ext cx="10363200" cy="73152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9525</xdr:rowOff>
    </xdr:from>
    <xdr:to>
      <xdr:col>17</xdr:col>
      <xdr:colOff>0</xdr:colOff>
      <xdr:row>2</xdr:row>
      <xdr:rowOff>171450</xdr:rowOff>
    </xdr:to>
    <xdr:sp macro="" textlink="">
      <xdr:nvSpPr>
        <xdr:cNvPr id="3" name="Rectangle 2">
          <a:extLst>
            <a:ext uri="{FF2B5EF4-FFF2-40B4-BE49-F238E27FC236}">
              <a16:creationId xmlns:a16="http://schemas.microsoft.com/office/drawing/2014/main" id="{5693236E-150C-ED01-CDB7-4A7D22BE787B}"/>
            </a:ext>
          </a:extLst>
        </xdr:cNvPr>
        <xdr:cNvSpPr/>
      </xdr:nvSpPr>
      <xdr:spPr>
        <a:xfrm>
          <a:off x="0" y="9525"/>
          <a:ext cx="10363200" cy="542925"/>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161925</xdr:colOff>
      <xdr:row>0</xdr:row>
      <xdr:rowOff>33337</xdr:rowOff>
    </xdr:from>
    <xdr:to>
      <xdr:col>12</xdr:col>
      <xdr:colOff>514350</xdr:colOff>
      <xdr:row>2</xdr:row>
      <xdr:rowOff>147637</xdr:rowOff>
    </xdr:to>
    <xdr:sp macro="" textlink="">
      <xdr:nvSpPr>
        <xdr:cNvPr id="4" name="TextBox 3">
          <a:extLst>
            <a:ext uri="{FF2B5EF4-FFF2-40B4-BE49-F238E27FC236}">
              <a16:creationId xmlns:a16="http://schemas.microsoft.com/office/drawing/2014/main" id="{17F10A27-A832-8DAD-D244-3DF6F117CE41}"/>
            </a:ext>
          </a:extLst>
        </xdr:cNvPr>
        <xdr:cNvSpPr txBox="1"/>
      </xdr:nvSpPr>
      <xdr:spPr>
        <a:xfrm>
          <a:off x="2600325" y="33337"/>
          <a:ext cx="52292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000">
              <a:solidFill>
                <a:schemeClr val="bg1"/>
              </a:solidFill>
            </a:rPr>
            <a:t>HR EMPLOYEE</a:t>
          </a:r>
          <a:r>
            <a:rPr lang="en-GB" sz="3000" baseline="0">
              <a:solidFill>
                <a:schemeClr val="bg1"/>
              </a:solidFill>
            </a:rPr>
            <a:t> TRACKER</a:t>
          </a:r>
          <a:endParaRPr lang="en-GB" sz="3000">
            <a:solidFill>
              <a:schemeClr val="bg1"/>
            </a:solidFill>
          </a:endParaRPr>
        </a:p>
      </xdr:txBody>
    </xdr:sp>
    <xdr:clientData/>
  </xdr:twoCellAnchor>
  <xdr:twoCellAnchor>
    <xdr:from>
      <xdr:col>3</xdr:col>
      <xdr:colOff>600075</xdr:colOff>
      <xdr:row>3</xdr:row>
      <xdr:rowOff>19049</xdr:rowOff>
    </xdr:from>
    <xdr:to>
      <xdr:col>5</xdr:col>
      <xdr:colOff>457200</xdr:colOff>
      <xdr:row>10</xdr:row>
      <xdr:rowOff>9524</xdr:rowOff>
    </xdr:to>
    <xdr:sp macro="" textlink="">
      <xdr:nvSpPr>
        <xdr:cNvPr id="5" name="Rectangle 4">
          <a:extLst>
            <a:ext uri="{FF2B5EF4-FFF2-40B4-BE49-F238E27FC236}">
              <a16:creationId xmlns:a16="http://schemas.microsoft.com/office/drawing/2014/main" id="{99E4DBD7-13F3-B2BA-24AE-3CA22CAEF75E}"/>
            </a:ext>
          </a:extLst>
        </xdr:cNvPr>
        <xdr:cNvSpPr/>
      </xdr:nvSpPr>
      <xdr:spPr>
        <a:xfrm>
          <a:off x="2428875" y="590549"/>
          <a:ext cx="1076325" cy="1323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304800</xdr:colOff>
      <xdr:row>3</xdr:row>
      <xdr:rowOff>19050</xdr:rowOff>
    </xdr:from>
    <xdr:to>
      <xdr:col>5</xdr:col>
      <xdr:colOff>142875</xdr:colOff>
      <xdr:row>5</xdr:row>
      <xdr:rowOff>85725</xdr:rowOff>
    </xdr:to>
    <xdr:pic>
      <xdr:nvPicPr>
        <xdr:cNvPr id="6" name="Picture 5">
          <a:extLst>
            <a:ext uri="{FF2B5EF4-FFF2-40B4-BE49-F238E27FC236}">
              <a16:creationId xmlns:a16="http://schemas.microsoft.com/office/drawing/2014/main" id="{47909E80-7316-AE04-FE93-6BAD5AB349BB}"/>
            </a:ext>
          </a:extLst>
        </xdr:cNvPr>
        <xdr:cNvPicPr>
          <a:picLocks noChangeAspect="1"/>
        </xdr:cNvPicPr>
      </xdr:nvPicPr>
      <xdr:blipFill>
        <a:blip xmlns:r="http://schemas.openxmlformats.org/officeDocument/2006/relationships" r:embed="rId1"/>
        <a:stretch>
          <a:fillRect/>
        </a:stretch>
      </xdr:blipFill>
      <xdr:spPr>
        <a:xfrm>
          <a:off x="2743200" y="590550"/>
          <a:ext cx="447675" cy="447675"/>
        </a:xfrm>
        <a:prstGeom prst="rect">
          <a:avLst/>
        </a:prstGeom>
        <a:noFill/>
        <a:ln w="9525" cmpd="sng">
          <a:noFill/>
        </a:ln>
      </xdr:spPr>
    </xdr:pic>
    <xdr:clientData/>
  </xdr:twoCellAnchor>
  <xdr:twoCellAnchor>
    <xdr:from>
      <xdr:col>4</xdr:col>
      <xdr:colOff>76200</xdr:colOff>
      <xdr:row>5</xdr:row>
      <xdr:rowOff>85724</xdr:rowOff>
    </xdr:from>
    <xdr:to>
      <xdr:col>5</xdr:col>
      <xdr:colOff>400050</xdr:colOff>
      <xdr:row>8</xdr:row>
      <xdr:rowOff>38099</xdr:rowOff>
    </xdr:to>
    <xdr:sp macro="" textlink="">
      <xdr:nvSpPr>
        <xdr:cNvPr id="7" name="TextBox 6">
          <a:extLst>
            <a:ext uri="{FF2B5EF4-FFF2-40B4-BE49-F238E27FC236}">
              <a16:creationId xmlns:a16="http://schemas.microsoft.com/office/drawing/2014/main" id="{36068FF0-F3FC-C11D-79FC-2DFEF4E8ED4D}"/>
            </a:ext>
          </a:extLst>
        </xdr:cNvPr>
        <xdr:cNvSpPr txBox="1"/>
      </xdr:nvSpPr>
      <xdr:spPr>
        <a:xfrm>
          <a:off x="2514600" y="1038224"/>
          <a:ext cx="933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Total Employees</a:t>
          </a:r>
        </a:p>
      </xdr:txBody>
    </xdr:sp>
    <xdr:clientData/>
  </xdr:twoCellAnchor>
  <xdr:twoCellAnchor>
    <xdr:from>
      <xdr:col>4</xdr:col>
      <xdr:colOff>0</xdr:colOff>
      <xdr:row>7</xdr:row>
      <xdr:rowOff>171450</xdr:rowOff>
    </xdr:from>
    <xdr:to>
      <xdr:col>5</xdr:col>
      <xdr:colOff>438150</xdr:colOff>
      <xdr:row>9</xdr:row>
      <xdr:rowOff>142875</xdr:rowOff>
    </xdr:to>
    <xdr:sp macro="" textlink="Sheet2!M3">
      <xdr:nvSpPr>
        <xdr:cNvPr id="8" name="TextBox 7">
          <a:extLst>
            <a:ext uri="{FF2B5EF4-FFF2-40B4-BE49-F238E27FC236}">
              <a16:creationId xmlns:a16="http://schemas.microsoft.com/office/drawing/2014/main" id="{50C2B432-46BE-C746-FBC3-0DAFB94DCC36}"/>
            </a:ext>
          </a:extLst>
        </xdr:cNvPr>
        <xdr:cNvSpPr txBox="1"/>
      </xdr:nvSpPr>
      <xdr:spPr>
        <a:xfrm>
          <a:off x="2438400" y="15049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D512CD-EB88-4CC1-843A-003B65C1BD10}" type="TxLink">
            <a:rPr lang="en-US" sz="2000" b="1" i="0" u="none" strike="noStrike">
              <a:solidFill>
                <a:schemeClr val="tx2"/>
              </a:solidFill>
              <a:latin typeface="Calibri"/>
              <a:cs typeface="Calibri"/>
            </a:rPr>
            <a:pPr algn="ctr"/>
            <a:t>7</a:t>
          </a:fld>
          <a:endParaRPr lang="en-GB" sz="2000" b="1">
            <a:solidFill>
              <a:schemeClr val="tx2"/>
            </a:solidFill>
          </a:endParaRPr>
        </a:p>
      </xdr:txBody>
    </xdr:sp>
    <xdr:clientData/>
  </xdr:twoCellAnchor>
  <xdr:twoCellAnchor>
    <xdr:from>
      <xdr:col>6</xdr:col>
      <xdr:colOff>290513</xdr:colOff>
      <xdr:row>3</xdr:row>
      <xdr:rowOff>19049</xdr:rowOff>
    </xdr:from>
    <xdr:to>
      <xdr:col>8</xdr:col>
      <xdr:colOff>147638</xdr:colOff>
      <xdr:row>10</xdr:row>
      <xdr:rowOff>9524</xdr:rowOff>
    </xdr:to>
    <xdr:sp macro="" textlink="">
      <xdr:nvSpPr>
        <xdr:cNvPr id="11" name="Rectangle 10">
          <a:extLst>
            <a:ext uri="{FF2B5EF4-FFF2-40B4-BE49-F238E27FC236}">
              <a16:creationId xmlns:a16="http://schemas.microsoft.com/office/drawing/2014/main" id="{0022B13F-F698-87D0-0339-7C5EFABF6A12}"/>
            </a:ext>
          </a:extLst>
        </xdr:cNvPr>
        <xdr:cNvSpPr/>
      </xdr:nvSpPr>
      <xdr:spPr>
        <a:xfrm>
          <a:off x="3948113" y="590549"/>
          <a:ext cx="1076325" cy="1323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376238</xdr:colOff>
      <xdr:row>5</xdr:row>
      <xdr:rowOff>85724</xdr:rowOff>
    </xdr:from>
    <xdr:to>
      <xdr:col>8</xdr:col>
      <xdr:colOff>90488</xdr:colOff>
      <xdr:row>8</xdr:row>
      <xdr:rowOff>38099</xdr:rowOff>
    </xdr:to>
    <xdr:sp macro="" textlink="">
      <xdr:nvSpPr>
        <xdr:cNvPr id="13" name="TextBox 12">
          <a:extLst>
            <a:ext uri="{FF2B5EF4-FFF2-40B4-BE49-F238E27FC236}">
              <a16:creationId xmlns:a16="http://schemas.microsoft.com/office/drawing/2014/main" id="{9F6FAC7E-6FD1-8664-42AC-70B189280F3F}"/>
            </a:ext>
          </a:extLst>
        </xdr:cNvPr>
        <xdr:cNvSpPr txBox="1"/>
      </xdr:nvSpPr>
      <xdr:spPr>
        <a:xfrm>
          <a:off x="4033838" y="1038224"/>
          <a:ext cx="933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Average</a:t>
          </a:r>
        </a:p>
        <a:p>
          <a:pPr algn="ctr"/>
          <a:r>
            <a:rPr lang="en-GB" sz="1300" b="1"/>
            <a:t>Salary</a:t>
          </a:r>
        </a:p>
      </xdr:txBody>
    </xdr:sp>
    <xdr:clientData/>
  </xdr:twoCellAnchor>
  <xdr:twoCellAnchor>
    <xdr:from>
      <xdr:col>6</xdr:col>
      <xdr:colOff>300038</xdr:colOff>
      <xdr:row>7</xdr:row>
      <xdr:rowOff>171450</xdr:rowOff>
    </xdr:from>
    <xdr:to>
      <xdr:col>8</xdr:col>
      <xdr:colOff>128588</xdr:colOff>
      <xdr:row>9</xdr:row>
      <xdr:rowOff>142875</xdr:rowOff>
    </xdr:to>
    <xdr:sp macro="" textlink="Sheet2!M4">
      <xdr:nvSpPr>
        <xdr:cNvPr id="14" name="TextBox 13">
          <a:extLst>
            <a:ext uri="{FF2B5EF4-FFF2-40B4-BE49-F238E27FC236}">
              <a16:creationId xmlns:a16="http://schemas.microsoft.com/office/drawing/2014/main" id="{352AE3E1-6351-D4B9-1254-B39331560C7C}"/>
            </a:ext>
          </a:extLst>
        </xdr:cNvPr>
        <xdr:cNvSpPr txBox="1"/>
      </xdr:nvSpPr>
      <xdr:spPr>
        <a:xfrm>
          <a:off x="3957638" y="15049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19ECE3-A742-4B90-B11B-6BC17429553E}" type="TxLink">
            <a:rPr lang="en-US" sz="2000" b="1" i="0" u="none" strike="noStrike">
              <a:solidFill>
                <a:schemeClr val="tx2"/>
              </a:solidFill>
              <a:latin typeface="Calibri"/>
              <a:ea typeface="+mn-ea"/>
              <a:cs typeface="Calibri"/>
            </a:rPr>
            <a:pPr marL="0" indent="0" algn="ctr"/>
            <a:t>£48,959</a:t>
          </a:fld>
          <a:endParaRPr lang="en-GB" sz="2000" b="1" i="0" u="none" strike="noStrike">
            <a:solidFill>
              <a:schemeClr val="tx2"/>
            </a:solidFill>
            <a:latin typeface="Calibri"/>
            <a:ea typeface="+mn-ea"/>
            <a:cs typeface="Calibri"/>
          </a:endParaRPr>
        </a:p>
      </xdr:txBody>
    </xdr:sp>
    <xdr:clientData/>
  </xdr:twoCellAnchor>
  <xdr:twoCellAnchor>
    <xdr:from>
      <xdr:col>8</xdr:col>
      <xdr:colOff>590551</xdr:colOff>
      <xdr:row>3</xdr:row>
      <xdr:rowOff>19049</xdr:rowOff>
    </xdr:from>
    <xdr:to>
      <xdr:col>10</xdr:col>
      <xdr:colOff>447676</xdr:colOff>
      <xdr:row>10</xdr:row>
      <xdr:rowOff>9524</xdr:rowOff>
    </xdr:to>
    <xdr:sp macro="" textlink="">
      <xdr:nvSpPr>
        <xdr:cNvPr id="16" name="Rectangle 15">
          <a:extLst>
            <a:ext uri="{FF2B5EF4-FFF2-40B4-BE49-F238E27FC236}">
              <a16:creationId xmlns:a16="http://schemas.microsoft.com/office/drawing/2014/main" id="{60AA0139-5EE9-5E6D-9FA2-F75114DA64A0}"/>
            </a:ext>
          </a:extLst>
        </xdr:cNvPr>
        <xdr:cNvSpPr/>
      </xdr:nvSpPr>
      <xdr:spPr>
        <a:xfrm>
          <a:off x="5467351" y="590549"/>
          <a:ext cx="1076325" cy="1323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66676</xdr:colOff>
      <xdr:row>5</xdr:row>
      <xdr:rowOff>85724</xdr:rowOff>
    </xdr:from>
    <xdr:to>
      <xdr:col>10</xdr:col>
      <xdr:colOff>390526</xdr:colOff>
      <xdr:row>8</xdr:row>
      <xdr:rowOff>38099</xdr:rowOff>
    </xdr:to>
    <xdr:sp macro="" textlink="">
      <xdr:nvSpPr>
        <xdr:cNvPr id="18" name="TextBox 17">
          <a:extLst>
            <a:ext uri="{FF2B5EF4-FFF2-40B4-BE49-F238E27FC236}">
              <a16:creationId xmlns:a16="http://schemas.microsoft.com/office/drawing/2014/main" id="{51406F35-08E7-91D2-7180-E9FD1E1EBECB}"/>
            </a:ext>
          </a:extLst>
        </xdr:cNvPr>
        <xdr:cNvSpPr txBox="1"/>
      </xdr:nvSpPr>
      <xdr:spPr>
        <a:xfrm>
          <a:off x="5553076" y="1038224"/>
          <a:ext cx="933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Average</a:t>
          </a:r>
        </a:p>
        <a:p>
          <a:pPr algn="ctr"/>
          <a:r>
            <a:rPr lang="en-GB" sz="1300" b="1"/>
            <a:t>Tenure</a:t>
          </a:r>
        </a:p>
      </xdr:txBody>
    </xdr:sp>
    <xdr:clientData/>
  </xdr:twoCellAnchor>
  <xdr:twoCellAnchor>
    <xdr:from>
      <xdr:col>8</xdr:col>
      <xdr:colOff>600076</xdr:colOff>
      <xdr:row>7</xdr:row>
      <xdr:rowOff>171450</xdr:rowOff>
    </xdr:from>
    <xdr:to>
      <xdr:col>10</xdr:col>
      <xdr:colOff>428626</xdr:colOff>
      <xdr:row>9</xdr:row>
      <xdr:rowOff>142875</xdr:rowOff>
    </xdr:to>
    <xdr:sp macro="" textlink="Sheet2!M5">
      <xdr:nvSpPr>
        <xdr:cNvPr id="19" name="TextBox 18">
          <a:extLst>
            <a:ext uri="{FF2B5EF4-FFF2-40B4-BE49-F238E27FC236}">
              <a16:creationId xmlns:a16="http://schemas.microsoft.com/office/drawing/2014/main" id="{39D6B4B9-6D56-0BFA-57A3-CAB6438993B3}"/>
            </a:ext>
          </a:extLst>
        </xdr:cNvPr>
        <xdr:cNvSpPr txBox="1"/>
      </xdr:nvSpPr>
      <xdr:spPr>
        <a:xfrm>
          <a:off x="5476876" y="15049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554D2D-32ED-4CAF-9EF6-7D40D5659633}" type="TxLink">
            <a:rPr lang="en-US" sz="2000" b="1" i="0" u="none" strike="noStrike">
              <a:solidFill>
                <a:schemeClr val="tx2"/>
              </a:solidFill>
              <a:latin typeface="Calibri"/>
              <a:ea typeface="+mn-ea"/>
              <a:cs typeface="Calibri"/>
            </a:rPr>
            <a:pPr marL="0" indent="0" algn="ctr"/>
            <a:t>6.86</a:t>
          </a:fld>
          <a:endParaRPr lang="en-GB" sz="2000" b="1" i="0" u="none" strike="noStrike">
            <a:solidFill>
              <a:schemeClr val="tx2"/>
            </a:solidFill>
            <a:latin typeface="Calibri"/>
            <a:ea typeface="+mn-ea"/>
            <a:cs typeface="Calibri"/>
          </a:endParaRPr>
        </a:p>
      </xdr:txBody>
    </xdr:sp>
    <xdr:clientData/>
  </xdr:twoCellAnchor>
  <xdr:twoCellAnchor>
    <xdr:from>
      <xdr:col>11</xdr:col>
      <xdr:colOff>280989</xdr:colOff>
      <xdr:row>3</xdr:row>
      <xdr:rowOff>19049</xdr:rowOff>
    </xdr:from>
    <xdr:to>
      <xdr:col>13</xdr:col>
      <xdr:colOff>138114</xdr:colOff>
      <xdr:row>10</xdr:row>
      <xdr:rowOff>9524</xdr:rowOff>
    </xdr:to>
    <xdr:sp macro="" textlink="">
      <xdr:nvSpPr>
        <xdr:cNvPr id="21" name="Rectangle 20">
          <a:extLst>
            <a:ext uri="{FF2B5EF4-FFF2-40B4-BE49-F238E27FC236}">
              <a16:creationId xmlns:a16="http://schemas.microsoft.com/office/drawing/2014/main" id="{D7BFD07D-D327-8CE2-F89B-C953BA88F878}"/>
            </a:ext>
          </a:extLst>
        </xdr:cNvPr>
        <xdr:cNvSpPr/>
      </xdr:nvSpPr>
      <xdr:spPr>
        <a:xfrm>
          <a:off x="6986589" y="590549"/>
          <a:ext cx="1076325" cy="1323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366714</xdr:colOff>
      <xdr:row>5</xdr:row>
      <xdr:rowOff>85724</xdr:rowOff>
    </xdr:from>
    <xdr:to>
      <xdr:col>13</xdr:col>
      <xdr:colOff>80964</xdr:colOff>
      <xdr:row>8</xdr:row>
      <xdr:rowOff>38099</xdr:rowOff>
    </xdr:to>
    <xdr:sp macro="" textlink="">
      <xdr:nvSpPr>
        <xdr:cNvPr id="23" name="TextBox 22">
          <a:extLst>
            <a:ext uri="{FF2B5EF4-FFF2-40B4-BE49-F238E27FC236}">
              <a16:creationId xmlns:a16="http://schemas.microsoft.com/office/drawing/2014/main" id="{79D9B9F6-1C07-2244-0B05-2698BB7A7087}"/>
            </a:ext>
          </a:extLst>
        </xdr:cNvPr>
        <xdr:cNvSpPr txBox="1"/>
      </xdr:nvSpPr>
      <xdr:spPr>
        <a:xfrm>
          <a:off x="7072314" y="1038224"/>
          <a:ext cx="933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New</a:t>
          </a:r>
          <a:r>
            <a:rPr lang="en-GB" sz="1300" b="1" baseline="0"/>
            <a:t> </a:t>
          </a:r>
        </a:p>
        <a:p>
          <a:pPr algn="ctr"/>
          <a:r>
            <a:rPr lang="en-GB" sz="1300" b="1" baseline="0"/>
            <a:t>Hire</a:t>
          </a:r>
        </a:p>
      </xdr:txBody>
    </xdr:sp>
    <xdr:clientData/>
  </xdr:twoCellAnchor>
  <xdr:twoCellAnchor>
    <xdr:from>
      <xdr:col>11</xdr:col>
      <xdr:colOff>290514</xdr:colOff>
      <xdr:row>7</xdr:row>
      <xdr:rowOff>171450</xdr:rowOff>
    </xdr:from>
    <xdr:to>
      <xdr:col>13</xdr:col>
      <xdr:colOff>119064</xdr:colOff>
      <xdr:row>9</xdr:row>
      <xdr:rowOff>142875</xdr:rowOff>
    </xdr:to>
    <xdr:sp macro="" textlink="Sheet2!M6">
      <xdr:nvSpPr>
        <xdr:cNvPr id="24" name="TextBox 23">
          <a:extLst>
            <a:ext uri="{FF2B5EF4-FFF2-40B4-BE49-F238E27FC236}">
              <a16:creationId xmlns:a16="http://schemas.microsoft.com/office/drawing/2014/main" id="{935E749C-9567-B85D-2155-8A0D0B3F049A}"/>
            </a:ext>
          </a:extLst>
        </xdr:cNvPr>
        <xdr:cNvSpPr txBox="1"/>
      </xdr:nvSpPr>
      <xdr:spPr>
        <a:xfrm>
          <a:off x="6996114" y="15049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E2F017-910B-4E7B-87DB-A27480005283}" type="TxLink">
            <a:rPr lang="en-US" sz="2000" b="1" i="0" u="none" strike="noStrike">
              <a:solidFill>
                <a:schemeClr val="tx2"/>
              </a:solidFill>
              <a:latin typeface="Calibri"/>
              <a:ea typeface="+mn-ea"/>
              <a:cs typeface="Calibri"/>
            </a:rPr>
            <a:pPr marL="0" indent="0" algn="ctr"/>
            <a:t>0</a:t>
          </a:fld>
          <a:endParaRPr lang="en-GB" sz="2000" b="1" i="0" u="none" strike="noStrike">
            <a:solidFill>
              <a:schemeClr val="tx2"/>
            </a:solidFill>
            <a:latin typeface="Calibri"/>
            <a:ea typeface="+mn-ea"/>
            <a:cs typeface="Calibri"/>
          </a:endParaRPr>
        </a:p>
      </xdr:txBody>
    </xdr:sp>
    <xdr:clientData/>
  </xdr:twoCellAnchor>
  <xdr:twoCellAnchor>
    <xdr:from>
      <xdr:col>13</xdr:col>
      <xdr:colOff>581025</xdr:colOff>
      <xdr:row>3</xdr:row>
      <xdr:rowOff>19049</xdr:rowOff>
    </xdr:from>
    <xdr:to>
      <xdr:col>15</xdr:col>
      <xdr:colOff>438150</xdr:colOff>
      <xdr:row>10</xdr:row>
      <xdr:rowOff>9524</xdr:rowOff>
    </xdr:to>
    <xdr:sp macro="" textlink="">
      <xdr:nvSpPr>
        <xdr:cNvPr id="26" name="Rectangle 25">
          <a:extLst>
            <a:ext uri="{FF2B5EF4-FFF2-40B4-BE49-F238E27FC236}">
              <a16:creationId xmlns:a16="http://schemas.microsoft.com/office/drawing/2014/main" id="{DDF1C9D7-D009-4DF8-C437-AEAF28F3F29C}"/>
            </a:ext>
          </a:extLst>
        </xdr:cNvPr>
        <xdr:cNvSpPr/>
      </xdr:nvSpPr>
      <xdr:spPr>
        <a:xfrm>
          <a:off x="8505825" y="590549"/>
          <a:ext cx="1076325" cy="1323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57150</xdr:colOff>
      <xdr:row>5</xdr:row>
      <xdr:rowOff>85724</xdr:rowOff>
    </xdr:from>
    <xdr:to>
      <xdr:col>15</xdr:col>
      <xdr:colOff>381000</xdr:colOff>
      <xdr:row>8</xdr:row>
      <xdr:rowOff>38099</xdr:rowOff>
    </xdr:to>
    <xdr:sp macro="" textlink="">
      <xdr:nvSpPr>
        <xdr:cNvPr id="28" name="TextBox 27">
          <a:extLst>
            <a:ext uri="{FF2B5EF4-FFF2-40B4-BE49-F238E27FC236}">
              <a16:creationId xmlns:a16="http://schemas.microsoft.com/office/drawing/2014/main" id="{3148E9E1-CFE9-1313-8370-EB279D9EA30A}"/>
            </a:ext>
          </a:extLst>
        </xdr:cNvPr>
        <xdr:cNvSpPr txBox="1"/>
      </xdr:nvSpPr>
      <xdr:spPr>
        <a:xfrm>
          <a:off x="8591550" y="1038224"/>
          <a:ext cx="933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Turnover</a:t>
          </a:r>
        </a:p>
        <a:p>
          <a:pPr algn="ctr"/>
          <a:r>
            <a:rPr lang="en-GB" sz="1300" b="1"/>
            <a:t>Rate</a:t>
          </a:r>
        </a:p>
      </xdr:txBody>
    </xdr:sp>
    <xdr:clientData/>
  </xdr:twoCellAnchor>
  <xdr:twoCellAnchor>
    <xdr:from>
      <xdr:col>13</xdr:col>
      <xdr:colOff>590550</xdr:colOff>
      <xdr:row>7</xdr:row>
      <xdr:rowOff>171450</xdr:rowOff>
    </xdr:from>
    <xdr:to>
      <xdr:col>15</xdr:col>
      <xdr:colOff>419100</xdr:colOff>
      <xdr:row>9</xdr:row>
      <xdr:rowOff>142875</xdr:rowOff>
    </xdr:to>
    <xdr:sp macro="" textlink="Sheet2!M7">
      <xdr:nvSpPr>
        <xdr:cNvPr id="29" name="TextBox 28">
          <a:extLst>
            <a:ext uri="{FF2B5EF4-FFF2-40B4-BE49-F238E27FC236}">
              <a16:creationId xmlns:a16="http://schemas.microsoft.com/office/drawing/2014/main" id="{AD5BAB07-223C-878E-C54F-76BA40D789C0}"/>
            </a:ext>
          </a:extLst>
        </xdr:cNvPr>
        <xdr:cNvSpPr txBox="1"/>
      </xdr:nvSpPr>
      <xdr:spPr>
        <a:xfrm>
          <a:off x="8515350" y="15049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C4FE05-279D-4809-AA99-47DE3E0243AD}" type="TxLink">
            <a:rPr lang="en-US" sz="2000" b="1" i="0" u="none" strike="noStrike">
              <a:solidFill>
                <a:schemeClr val="tx2"/>
              </a:solidFill>
              <a:latin typeface="Calibri"/>
              <a:ea typeface="+mn-ea"/>
              <a:cs typeface="Calibri"/>
            </a:rPr>
            <a:pPr marL="0" indent="0" algn="ctr"/>
            <a:t>0%</a:t>
          </a:fld>
          <a:endParaRPr lang="en-GB" sz="2000" b="1" i="0" u="none" strike="noStrike">
            <a:solidFill>
              <a:schemeClr val="tx2"/>
            </a:solidFill>
            <a:latin typeface="Calibri"/>
            <a:ea typeface="+mn-ea"/>
            <a:cs typeface="Calibri"/>
          </a:endParaRPr>
        </a:p>
      </xdr:txBody>
    </xdr:sp>
    <xdr:clientData/>
  </xdr:twoCellAnchor>
  <xdr:twoCellAnchor editAs="oneCell">
    <xdr:from>
      <xdr:col>7</xdr:col>
      <xdr:colOff>14288</xdr:colOff>
      <xdr:row>3</xdr:row>
      <xdr:rowOff>19049</xdr:rowOff>
    </xdr:from>
    <xdr:to>
      <xdr:col>7</xdr:col>
      <xdr:colOff>423862</xdr:colOff>
      <xdr:row>5</xdr:row>
      <xdr:rowOff>47623</xdr:rowOff>
    </xdr:to>
    <xdr:pic>
      <xdr:nvPicPr>
        <xdr:cNvPr id="30" name="Picture 29">
          <a:extLst>
            <a:ext uri="{FF2B5EF4-FFF2-40B4-BE49-F238E27FC236}">
              <a16:creationId xmlns:a16="http://schemas.microsoft.com/office/drawing/2014/main" id="{A1E513EC-C7A3-E1E1-86CB-0117D4F5AD68}"/>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blip>
        <a:stretch>
          <a:fillRect/>
        </a:stretch>
      </xdr:blipFill>
      <xdr:spPr>
        <a:xfrm>
          <a:off x="4281488" y="590549"/>
          <a:ext cx="409574" cy="409574"/>
        </a:xfrm>
        <a:prstGeom prst="rect">
          <a:avLst/>
        </a:prstGeom>
        <a:noFill/>
        <a:ln w="9525" cmpd="sng">
          <a:noFill/>
        </a:ln>
      </xdr:spPr>
    </xdr:pic>
    <xdr:clientData/>
  </xdr:twoCellAnchor>
  <xdr:twoCellAnchor editAs="oneCell">
    <xdr:from>
      <xdr:col>9</xdr:col>
      <xdr:colOff>276226</xdr:colOff>
      <xdr:row>2</xdr:row>
      <xdr:rowOff>171450</xdr:rowOff>
    </xdr:from>
    <xdr:to>
      <xdr:col>10</xdr:col>
      <xdr:colOff>152401</xdr:colOff>
      <xdr:row>5</xdr:row>
      <xdr:rowOff>85725</xdr:rowOff>
    </xdr:to>
    <xdr:pic>
      <xdr:nvPicPr>
        <xdr:cNvPr id="31" name="Picture 30">
          <a:extLst>
            <a:ext uri="{FF2B5EF4-FFF2-40B4-BE49-F238E27FC236}">
              <a16:creationId xmlns:a16="http://schemas.microsoft.com/office/drawing/2014/main" id="{84434BCC-3BC1-4B07-888B-676CA96DE6B3}"/>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5762626" y="552450"/>
          <a:ext cx="485775" cy="485775"/>
        </a:xfrm>
        <a:prstGeom prst="rect">
          <a:avLst/>
        </a:prstGeom>
      </xdr:spPr>
    </xdr:pic>
    <xdr:clientData/>
  </xdr:twoCellAnchor>
  <xdr:twoCellAnchor editAs="oneCell">
    <xdr:from>
      <xdr:col>12</xdr:col>
      <xdr:colOff>4764</xdr:colOff>
      <xdr:row>3</xdr:row>
      <xdr:rowOff>19049</xdr:rowOff>
    </xdr:from>
    <xdr:to>
      <xdr:col>12</xdr:col>
      <xdr:colOff>414338</xdr:colOff>
      <xdr:row>5</xdr:row>
      <xdr:rowOff>47623</xdr:rowOff>
    </xdr:to>
    <xdr:pic>
      <xdr:nvPicPr>
        <xdr:cNvPr id="32" name="Picture 31">
          <a:extLst>
            <a:ext uri="{FF2B5EF4-FFF2-40B4-BE49-F238E27FC236}">
              <a16:creationId xmlns:a16="http://schemas.microsoft.com/office/drawing/2014/main" id="{6761973C-B336-F60A-290A-C728E0D5C663}"/>
            </a:ext>
          </a:extLst>
        </xdr:cNvPr>
        <xdr:cNvPicPr>
          <a:picLocks noChangeAspect="1"/>
        </xdr:cNvPicPr>
      </xdr:nvPicPr>
      <xdr:blipFill>
        <a:blip xmlns:r="http://schemas.openxmlformats.org/officeDocument/2006/relationships" r:embed="rId4">
          <a:duotone>
            <a:prstClr val="black"/>
            <a:schemeClr val="accent1">
              <a:tint val="45000"/>
              <a:satMod val="400000"/>
            </a:schemeClr>
          </a:duotone>
        </a:blip>
        <a:stretch>
          <a:fillRect/>
        </a:stretch>
      </xdr:blipFill>
      <xdr:spPr>
        <a:xfrm>
          <a:off x="7319964" y="590549"/>
          <a:ext cx="409574" cy="409574"/>
        </a:xfrm>
        <a:prstGeom prst="rect">
          <a:avLst/>
        </a:prstGeom>
      </xdr:spPr>
    </xdr:pic>
    <xdr:clientData/>
  </xdr:twoCellAnchor>
  <xdr:twoCellAnchor editAs="oneCell">
    <xdr:from>
      <xdr:col>14</xdr:col>
      <xdr:colOff>266700</xdr:colOff>
      <xdr:row>3</xdr:row>
      <xdr:rowOff>19049</xdr:rowOff>
    </xdr:from>
    <xdr:to>
      <xdr:col>15</xdr:col>
      <xdr:colOff>142875</xdr:colOff>
      <xdr:row>5</xdr:row>
      <xdr:rowOff>123824</xdr:rowOff>
    </xdr:to>
    <xdr:pic>
      <xdr:nvPicPr>
        <xdr:cNvPr id="33" name="Picture 32">
          <a:extLst>
            <a:ext uri="{FF2B5EF4-FFF2-40B4-BE49-F238E27FC236}">
              <a16:creationId xmlns:a16="http://schemas.microsoft.com/office/drawing/2014/main" id="{B68704DD-0201-5F00-F29C-B0AD2CF90769}"/>
            </a:ext>
          </a:extLst>
        </xdr:cNvPr>
        <xdr:cNvPicPr>
          <a:picLocks noChangeAspect="1"/>
        </xdr:cNvPicPr>
      </xdr:nvPicPr>
      <xdr:blipFill>
        <a:blip xmlns:r="http://schemas.openxmlformats.org/officeDocument/2006/relationships" r:embed="rId5">
          <a:duotone>
            <a:prstClr val="black"/>
            <a:schemeClr val="accent1">
              <a:tint val="45000"/>
              <a:satMod val="400000"/>
            </a:schemeClr>
          </a:duotone>
        </a:blip>
        <a:stretch>
          <a:fillRect/>
        </a:stretch>
      </xdr:blipFill>
      <xdr:spPr>
        <a:xfrm>
          <a:off x="8801100" y="590549"/>
          <a:ext cx="485775" cy="485775"/>
        </a:xfrm>
        <a:prstGeom prst="rect">
          <a:avLst/>
        </a:prstGeom>
      </xdr:spPr>
    </xdr:pic>
    <xdr:clientData/>
  </xdr:twoCellAnchor>
  <xdr:twoCellAnchor>
    <xdr:from>
      <xdr:col>3</xdr:col>
      <xdr:colOff>571500</xdr:colOff>
      <xdr:row>10</xdr:row>
      <xdr:rowOff>66675</xdr:rowOff>
    </xdr:from>
    <xdr:to>
      <xdr:col>9</xdr:col>
      <xdr:colOff>561975</xdr:colOff>
      <xdr:row>22</xdr:row>
      <xdr:rowOff>57150</xdr:rowOff>
    </xdr:to>
    <xdr:graphicFrame macro="">
      <xdr:nvGraphicFramePr>
        <xdr:cNvPr id="34" name="Chart 33">
          <a:extLst>
            <a:ext uri="{FF2B5EF4-FFF2-40B4-BE49-F238E27FC236}">
              <a16:creationId xmlns:a16="http://schemas.microsoft.com/office/drawing/2014/main" id="{FDB86A8D-0809-4B45-B753-CE79E5757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66675</xdr:colOff>
      <xdr:row>10</xdr:row>
      <xdr:rowOff>57150</xdr:rowOff>
    </xdr:from>
    <xdr:to>
      <xdr:col>16</xdr:col>
      <xdr:colOff>495300</xdr:colOff>
      <xdr:row>22</xdr:row>
      <xdr:rowOff>57149</xdr:rowOff>
    </xdr:to>
    <xdr:graphicFrame macro="">
      <xdr:nvGraphicFramePr>
        <xdr:cNvPr id="35" name="Chart 34">
          <a:extLst>
            <a:ext uri="{FF2B5EF4-FFF2-40B4-BE49-F238E27FC236}">
              <a16:creationId xmlns:a16="http://schemas.microsoft.com/office/drawing/2014/main" id="{3D09A992-1905-480D-A980-F847F7499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561975</xdr:colOff>
      <xdr:row>22</xdr:row>
      <xdr:rowOff>142875</xdr:rowOff>
    </xdr:from>
    <xdr:to>
      <xdr:col>9</xdr:col>
      <xdr:colOff>514350</xdr:colOff>
      <xdr:row>37</xdr:row>
      <xdr:rowOff>28575</xdr:rowOff>
    </xdr:to>
    <xdr:graphicFrame macro="">
      <xdr:nvGraphicFramePr>
        <xdr:cNvPr id="37" name="Chart 36">
          <a:extLst>
            <a:ext uri="{FF2B5EF4-FFF2-40B4-BE49-F238E27FC236}">
              <a16:creationId xmlns:a16="http://schemas.microsoft.com/office/drawing/2014/main" id="{8292713B-D37C-45A8-AB81-9EC127A19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600074</xdr:colOff>
      <xdr:row>22</xdr:row>
      <xdr:rowOff>104775</xdr:rowOff>
    </xdr:from>
    <xdr:to>
      <xdr:col>16</xdr:col>
      <xdr:colOff>476250</xdr:colOff>
      <xdr:row>37</xdr:row>
      <xdr:rowOff>28575</xdr:rowOff>
    </xdr:to>
    <xdr:graphicFrame macro="">
      <xdr:nvGraphicFramePr>
        <xdr:cNvPr id="38" name="Chart 37">
          <a:extLst>
            <a:ext uri="{FF2B5EF4-FFF2-40B4-BE49-F238E27FC236}">
              <a16:creationId xmlns:a16="http://schemas.microsoft.com/office/drawing/2014/main" id="{F74DB630-AC03-4090-B817-B57392A3D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57150</xdr:colOff>
      <xdr:row>3</xdr:row>
      <xdr:rowOff>57151</xdr:rowOff>
    </xdr:from>
    <xdr:to>
      <xdr:col>3</xdr:col>
      <xdr:colOff>495300</xdr:colOff>
      <xdr:row>13</xdr:row>
      <xdr:rowOff>38100</xdr:rowOff>
    </xdr:to>
    <mc:AlternateContent xmlns:mc="http://schemas.openxmlformats.org/markup-compatibility/2006">
      <mc:Choice xmlns:a14="http://schemas.microsoft.com/office/drawing/2010/main" Requires="a14">
        <xdr:graphicFrame macro="">
          <xdr:nvGraphicFramePr>
            <xdr:cNvPr id="39" name="Role 1">
              <a:extLst>
                <a:ext uri="{FF2B5EF4-FFF2-40B4-BE49-F238E27FC236}">
                  <a16:creationId xmlns:a16="http://schemas.microsoft.com/office/drawing/2014/main" id="{F5AD006E-5477-4F7E-8F6D-05BA0509E26B}"/>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dr:sp macro="" textlink="">
          <xdr:nvSpPr>
            <xdr:cNvPr id="0" name=""/>
            <xdr:cNvSpPr>
              <a:spLocks noTextEdit="1"/>
            </xdr:cNvSpPr>
          </xdr:nvSpPr>
          <xdr:spPr>
            <a:xfrm>
              <a:off x="57150" y="628651"/>
              <a:ext cx="2266950" cy="1885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161926</xdr:colOff>
      <xdr:row>0</xdr:row>
      <xdr:rowOff>66675</xdr:rowOff>
    </xdr:from>
    <xdr:to>
      <xdr:col>16</xdr:col>
      <xdr:colOff>504826</xdr:colOff>
      <xdr:row>2</xdr:row>
      <xdr:rowOff>28575</xdr:rowOff>
    </xdr:to>
    <xdr:pic macro="[0]!Picture39_Click">
      <xdr:nvPicPr>
        <xdr:cNvPr id="40" name="Picture 39">
          <a:extLst>
            <a:ext uri="{FF2B5EF4-FFF2-40B4-BE49-F238E27FC236}">
              <a16:creationId xmlns:a16="http://schemas.microsoft.com/office/drawing/2014/main" id="{4726892F-403B-0BDD-A566-732EA1B49A23}"/>
            </a:ext>
          </a:extLst>
        </xdr:cNvPr>
        <xdr:cNvPicPr>
          <a:picLocks noChangeAspect="1"/>
        </xdr:cNvPicPr>
      </xdr:nvPicPr>
      <xdr:blipFill>
        <a:blip xmlns:r="http://schemas.openxmlformats.org/officeDocument/2006/relationships" r:embed="rId10">
          <a:duotone>
            <a:schemeClr val="accent1">
              <a:shade val="45000"/>
              <a:satMod val="135000"/>
            </a:schemeClr>
            <a:prstClr val="white"/>
          </a:duotone>
        </a:blip>
        <a:stretch>
          <a:fillRect/>
        </a:stretch>
      </xdr:blipFill>
      <xdr:spPr>
        <a:xfrm>
          <a:off x="9915526" y="66675"/>
          <a:ext cx="342900" cy="342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hs" refreshedDate="45986.89339016204" createdVersion="8" refreshedVersion="8" minRefreshableVersion="3" recordCount="52" xr:uid="{ACF91E85-E4B1-4CAA-AD46-001FC6F97F48}">
  <cacheSource type="worksheet">
    <worksheetSource name="Table2"/>
  </cacheSource>
  <cacheFields count="15">
    <cacheField name="Employee ID" numFmtId="0">
      <sharedItems/>
    </cacheField>
    <cacheField name="Name" numFmtId="0">
      <sharedItems/>
    </cacheField>
    <cacheField name="Department" numFmtId="0">
      <sharedItems count="7">
        <s v="Marketing"/>
        <s v="HR"/>
        <s v="Customer Support"/>
        <s v="Finance"/>
        <s v="Sales"/>
        <s v="Operations"/>
        <s v="IT"/>
      </sharedItems>
    </cacheField>
    <cacheField name="Role" numFmtId="0">
      <sharedItems count="6">
        <s v="Manager"/>
        <s v="Executive"/>
        <s v="Analyst"/>
        <s v="Coordinator"/>
        <s v="Director"/>
        <s v="Specialist"/>
      </sharedItems>
    </cacheField>
    <cacheField name="Salary (£)" numFmtId="164">
      <sharedItems containsSemiMixedTypes="0" containsString="0" containsNumber="1" containsInteger="1" minValue="24382" maxValue="64521"/>
    </cacheField>
    <cacheField name="Join Date" numFmtId="0">
      <sharedItems containsDate="1" containsMixedTypes="1" minDate="2025-01-25T00:00:00" maxDate="2025-06-26T00:00:00"/>
    </cacheField>
    <cacheField name="Working Days" numFmtId="0">
      <sharedItems containsSemiMixedTypes="0" containsString="0" containsNumber="1" containsInteger="1" minValue="110" maxValue="2837"/>
    </cacheField>
    <cacheField name="Days Present (last 12 months)" numFmtId="0">
      <sharedItems containsSemiMixedTypes="0" containsString="0" containsNumber="1" containsInteger="1" minValue="105" maxValue="260"/>
    </cacheField>
    <cacheField name="Performance Score" numFmtId="0">
      <sharedItems containsSemiMixedTypes="0" containsString="0" containsNumber="1" minValue="2.6" maxValue="5"/>
    </cacheField>
    <cacheField name="Absent Days" numFmtId="0">
      <sharedItems containsSemiMixedTypes="0" containsString="0" containsNumber="1" containsInteger="1" minValue="0" maxValue="59"/>
    </cacheField>
    <cacheField name="Percentange of Present" numFmtId="9">
      <sharedItems containsSemiMixedTypes="0" containsString="0" containsNumber="1" minValue="0.77307692307692311" maxValue="1"/>
    </cacheField>
    <cacheField name="Status" numFmtId="0">
      <sharedItems/>
    </cacheField>
    <cacheField name="End Date" numFmtId="0">
      <sharedItems containsNonDate="0" containsDate="1" containsString="0" containsBlank="1" minDate="2017-11-05T00:00:00" maxDate="2022-09-07T00:00:00"/>
    </cacheField>
    <cacheField name="Tenure" numFmtId="0">
      <sharedItems containsSemiMixedTypes="0" containsString="0" containsNumber="1" containsInteger="1" minValue="0" maxValue="10"/>
    </cacheField>
    <cacheField name="New Hir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62401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E1000"/>
    <s v="Poppy Brown"/>
    <x v="0"/>
    <x v="0"/>
    <n v="25957"/>
    <s v="06/09/2018"/>
    <n v="1884"/>
    <n v="232"/>
    <n v="3.6"/>
    <n v="28"/>
    <n v="0.89230769230769236"/>
    <s v="Active"/>
    <m/>
    <n v="7"/>
    <n v="0"/>
  </r>
  <r>
    <s v="E1001"/>
    <s v="Lily Thomas"/>
    <x v="1"/>
    <x v="0"/>
    <n v="64521"/>
    <s v="03/07/2022"/>
    <n v="887"/>
    <n v="252"/>
    <n v="3.8"/>
    <n v="8"/>
    <n v="0.96923076923076923"/>
    <s v="Active"/>
    <m/>
    <n v="3"/>
    <n v="0"/>
  </r>
  <r>
    <s v="E1002"/>
    <s v="Daniel Johnson"/>
    <x v="2"/>
    <x v="1"/>
    <n v="28090"/>
    <s v="07/10/2016"/>
    <n v="2383"/>
    <n v="206"/>
    <n v="4.9000000000000004"/>
    <n v="54"/>
    <n v="0.79230769230769227"/>
    <s v="Active"/>
    <m/>
    <n v="9"/>
    <n v="0"/>
  </r>
  <r>
    <s v="E1003"/>
    <s v="Henry Thomas"/>
    <x v="0"/>
    <x v="2"/>
    <n v="52342"/>
    <s v="16/04/2016"/>
    <n v="2507"/>
    <n v="255"/>
    <n v="3.7"/>
    <n v="5"/>
    <n v="0.98076923076923073"/>
    <s v="Active"/>
    <m/>
    <n v="9"/>
    <n v="0"/>
  </r>
  <r>
    <s v="E1004"/>
    <s v="Amelia Thomas"/>
    <x v="3"/>
    <x v="1"/>
    <n v="60868"/>
    <s v="25/10/2020"/>
    <n v="1327"/>
    <n v="222"/>
    <n v="3"/>
    <n v="38"/>
    <n v="0.85384615384615381"/>
    <s v="Active"/>
    <m/>
    <n v="5"/>
    <n v="0"/>
  </r>
  <r>
    <s v="E1005"/>
    <s v="Grace Davies"/>
    <x v="3"/>
    <x v="3"/>
    <n v="56814"/>
    <s v="24/06/2016"/>
    <n v="2458"/>
    <n v="254"/>
    <n v="4.4000000000000004"/>
    <n v="6"/>
    <n v="0.97692307692307689"/>
    <s v="Active"/>
    <m/>
    <n v="9"/>
    <n v="0"/>
  </r>
  <r>
    <s v="E1006"/>
    <s v="Amelia Taylor"/>
    <x v="4"/>
    <x v="2"/>
    <n v="36372"/>
    <s v="10/05/2021"/>
    <n v="1187"/>
    <n v="227"/>
    <n v="4.5999999999999996"/>
    <n v="33"/>
    <n v="0.87307692307692308"/>
    <s v="Active"/>
    <m/>
    <n v="4"/>
    <n v="0"/>
  </r>
  <r>
    <s v="E1007"/>
    <s v="William Jones"/>
    <x v="0"/>
    <x v="4"/>
    <n v="49048"/>
    <s v="09/05/2021"/>
    <n v="1187"/>
    <n v="203"/>
    <n v="4.5999999999999996"/>
    <n v="57"/>
    <n v="0.78076923076923077"/>
    <s v="Active"/>
    <m/>
    <n v="4"/>
    <n v="0"/>
  </r>
  <r>
    <s v="E1008"/>
    <s v="George Davies"/>
    <x v="4"/>
    <x v="0"/>
    <n v="55930"/>
    <s v="15/04/2017"/>
    <n v="2247"/>
    <n v="246"/>
    <n v="4.7"/>
    <n v="14"/>
    <n v="0.94615384615384612"/>
    <s v="Active"/>
    <m/>
    <n v="8"/>
    <n v="0"/>
  </r>
  <r>
    <s v="E1009"/>
    <s v="Thomas Evans"/>
    <x v="2"/>
    <x v="1"/>
    <n v="45679"/>
    <s v="02/09/2021"/>
    <n v="1104"/>
    <n v="225"/>
    <n v="3"/>
    <n v="35"/>
    <n v="0.86538461538461542"/>
    <s v="Active"/>
    <m/>
    <n v="4"/>
    <n v="0"/>
  </r>
  <r>
    <s v="E1010"/>
    <s v="Henry Davies"/>
    <x v="1"/>
    <x v="4"/>
    <n v="58422"/>
    <s v="10/01/2015"/>
    <n v="2837"/>
    <n v="235"/>
    <n v="4.8"/>
    <n v="25"/>
    <n v="0.90384615384615385"/>
    <s v="Active"/>
    <m/>
    <n v="10"/>
    <n v="0"/>
  </r>
  <r>
    <s v="E1011"/>
    <s v="Harry Johnson"/>
    <x v="5"/>
    <x v="0"/>
    <n v="62719"/>
    <s v="05/12/2017"/>
    <n v="2081"/>
    <n v="245"/>
    <n v="3.4"/>
    <n v="15"/>
    <n v="0.94230769230769229"/>
    <s v="Active"/>
    <m/>
    <n v="7"/>
    <n v="0"/>
  </r>
  <r>
    <s v="E1012"/>
    <s v="Sophie Taylor"/>
    <x v="3"/>
    <x v="4"/>
    <n v="37417"/>
    <s v="08/05/2019"/>
    <n v="1710"/>
    <n v="214"/>
    <n v="2.7"/>
    <n v="46"/>
    <n v="0.82307692307692304"/>
    <s v="Leaver"/>
    <d v="2020-06-08T00:00:00"/>
    <n v="1"/>
    <n v="0"/>
  </r>
  <r>
    <s v="E1013"/>
    <s v="Isla Roberts"/>
    <x v="5"/>
    <x v="1"/>
    <n v="25970"/>
    <s v="18/04/2017"/>
    <n v="2246"/>
    <n v="218"/>
    <n v="4.7"/>
    <n v="42"/>
    <n v="0.83846153846153848"/>
    <s v="Active"/>
    <m/>
    <n v="8"/>
    <n v="0"/>
  </r>
  <r>
    <s v="E1014"/>
    <s v="Jack Evans"/>
    <x v="0"/>
    <x v="4"/>
    <n v="54375"/>
    <s v="18/05/2015"/>
    <n v="2747"/>
    <n v="254"/>
    <n v="3.1"/>
    <n v="6"/>
    <n v="0.97692307692307689"/>
    <s v="Active"/>
    <m/>
    <n v="10"/>
    <n v="0"/>
  </r>
  <r>
    <s v="E1015"/>
    <s v="Sophie Thomas"/>
    <x v="3"/>
    <x v="0"/>
    <n v="34870"/>
    <s v="01/05/2017"/>
    <n v="2237"/>
    <n v="241"/>
    <n v="2.8"/>
    <n v="19"/>
    <n v="0.92692307692307696"/>
    <s v="Active"/>
    <m/>
    <n v="8"/>
    <n v="0"/>
  </r>
  <r>
    <s v="E1016"/>
    <s v="Sophie Taylor"/>
    <x v="1"/>
    <x v="3"/>
    <n v="53282"/>
    <s v="30/08/2019"/>
    <n v="1628"/>
    <n v="232"/>
    <n v="4.4000000000000004"/>
    <n v="28"/>
    <n v="0.89230769230769236"/>
    <s v="Active"/>
    <m/>
    <n v="6"/>
    <n v="0"/>
  </r>
  <r>
    <s v="E1017"/>
    <s v="William Roberts"/>
    <x v="2"/>
    <x v="2"/>
    <n v="25339"/>
    <s v="21/04/2022"/>
    <n v="939"/>
    <n v="220"/>
    <n v="4.3"/>
    <n v="40"/>
    <n v="0.84615384615384615"/>
    <s v="Active"/>
    <m/>
    <n v="3"/>
    <n v="0"/>
  </r>
  <r>
    <s v="E1018"/>
    <s v="George Johnson"/>
    <x v="2"/>
    <x v="1"/>
    <n v="39638"/>
    <s v="14/07/2021"/>
    <n v="1140"/>
    <n v="203"/>
    <n v="2.9"/>
    <n v="57"/>
    <n v="0.78076923076923077"/>
    <s v="Leaver"/>
    <d v="2022-09-06T00:00:00"/>
    <n v="1"/>
    <n v="0"/>
  </r>
  <r>
    <s v="E1019"/>
    <s v="Harry Thomas"/>
    <x v="6"/>
    <x v="1"/>
    <n v="26640"/>
    <s v="15/12/2017"/>
    <n v="2073"/>
    <n v="212"/>
    <n v="5"/>
    <n v="48"/>
    <n v="0.81538461538461537"/>
    <s v="Active"/>
    <m/>
    <n v="7"/>
    <n v="0"/>
  </r>
  <r>
    <s v="E1020"/>
    <s v="Sophie Taylor"/>
    <x v="2"/>
    <x v="1"/>
    <n v="26396"/>
    <s v="24/07/2017"/>
    <n v="2177"/>
    <n v="234"/>
    <n v="4.5"/>
    <n v="26"/>
    <n v="0.9"/>
    <s v="Active"/>
    <m/>
    <n v="8"/>
    <n v="0"/>
  </r>
  <r>
    <s v="E1021"/>
    <s v="Mia Smith"/>
    <x v="0"/>
    <x v="0"/>
    <n v="57417"/>
    <s v="01/11/2021"/>
    <n v="1062"/>
    <n v="260"/>
    <n v="3.2"/>
    <n v="0"/>
    <n v="1"/>
    <s v="Active"/>
    <m/>
    <n v="4"/>
    <n v="0"/>
  </r>
  <r>
    <s v="E1022"/>
    <s v="William Davies"/>
    <x v="0"/>
    <x v="3"/>
    <n v="54815"/>
    <s v="15/10/2016"/>
    <n v="2377"/>
    <n v="212"/>
    <n v="3"/>
    <n v="48"/>
    <n v="0.81538461538461537"/>
    <s v="Active"/>
    <m/>
    <n v="9"/>
    <n v="0"/>
  </r>
  <r>
    <s v="E1023"/>
    <s v="Daniel Brown"/>
    <x v="5"/>
    <x v="0"/>
    <n v="24382"/>
    <s v="08/03/2015"/>
    <n v="2797"/>
    <n v="208"/>
    <n v="3.3"/>
    <n v="52"/>
    <n v="0.8"/>
    <s v="Active"/>
    <m/>
    <n v="10"/>
    <n v="0"/>
  </r>
  <r>
    <s v="E1024"/>
    <s v="Henry Jones"/>
    <x v="0"/>
    <x v="0"/>
    <n v="59990"/>
    <s v="29/07/2017"/>
    <n v="2172"/>
    <n v="201"/>
    <n v="3"/>
    <n v="59"/>
    <n v="0.77307692307692311"/>
    <s v="Leaver"/>
    <d v="2018-08-01T00:00:00"/>
    <n v="1"/>
    <n v="0"/>
  </r>
  <r>
    <s v="E1025"/>
    <s v="Charlie Evans"/>
    <x v="6"/>
    <x v="3"/>
    <n v="26776"/>
    <s v="06/10/2022"/>
    <n v="819"/>
    <n v="207"/>
    <n v="4.2"/>
    <n v="53"/>
    <n v="0.7961538461538461"/>
    <s v="Active"/>
    <m/>
    <n v="3"/>
    <n v="0"/>
  </r>
  <r>
    <s v="E1026"/>
    <s v="Grace Thomas"/>
    <x v="3"/>
    <x v="2"/>
    <n v="41939"/>
    <s v="15/10/2019"/>
    <n v="1596"/>
    <n v="209"/>
    <n v="4.4000000000000004"/>
    <n v="51"/>
    <n v="0.80384615384615388"/>
    <s v="Active"/>
    <m/>
    <n v="6"/>
    <n v="0"/>
  </r>
  <r>
    <s v="E1027"/>
    <s v="Lily Johnson"/>
    <x v="3"/>
    <x v="1"/>
    <n v="34214"/>
    <s v="21/08/2015"/>
    <n v="2678"/>
    <n v="211"/>
    <n v="3.2"/>
    <n v="49"/>
    <n v="0.81153846153846154"/>
    <s v="Active"/>
    <m/>
    <n v="10"/>
    <n v="0"/>
  </r>
  <r>
    <s v="E1028"/>
    <s v="Mia Taylor"/>
    <x v="4"/>
    <x v="2"/>
    <n v="62604"/>
    <s v="09/12/2016"/>
    <n v="2338"/>
    <n v="258"/>
    <n v="3.1"/>
    <n v="2"/>
    <n v="0.99230769230769234"/>
    <s v="Active"/>
    <m/>
    <n v="8"/>
    <n v="0"/>
  </r>
  <r>
    <s v="E1029"/>
    <s v="Henry Roberts"/>
    <x v="2"/>
    <x v="1"/>
    <n v="57458"/>
    <s v="29/11/2016"/>
    <n v="2346"/>
    <n v="215"/>
    <n v="2.6"/>
    <n v="45"/>
    <n v="0.82692307692307687"/>
    <s v="Leaver"/>
    <d v="2017-12-15T00:00:00"/>
    <n v="1"/>
    <n v="0"/>
  </r>
  <r>
    <s v="E1030"/>
    <s v="Charlie Brown"/>
    <x v="4"/>
    <x v="0"/>
    <n v="46147"/>
    <s v="21/02/2020"/>
    <n v="1503"/>
    <n v="204"/>
    <n v="4.9000000000000004"/>
    <n v="56"/>
    <n v="0.7846153846153846"/>
    <s v="Active"/>
    <m/>
    <n v="5"/>
    <n v="0"/>
  </r>
  <r>
    <s v="E1031"/>
    <s v="Henry Smith"/>
    <x v="4"/>
    <x v="3"/>
    <n v="53425"/>
    <s v="31/10/2016"/>
    <n v="2367"/>
    <n v="242"/>
    <n v="4.5"/>
    <n v="18"/>
    <n v="0.93076923076923079"/>
    <s v="Active"/>
    <m/>
    <n v="9"/>
    <n v="0"/>
  </r>
  <r>
    <s v="E1032"/>
    <s v="Sophie Smith"/>
    <x v="3"/>
    <x v="2"/>
    <n v="42013"/>
    <s v="22/08/2019"/>
    <n v="1634"/>
    <n v="258"/>
    <n v="4.5999999999999996"/>
    <n v="2"/>
    <n v="0.99230769230769234"/>
    <s v="Active"/>
    <m/>
    <n v="6"/>
    <n v="0"/>
  </r>
  <r>
    <s v="E1033"/>
    <s v="Poppy Thomas"/>
    <x v="1"/>
    <x v="2"/>
    <n v="58099"/>
    <s v="04/05/2020"/>
    <n v="1452"/>
    <n v="241"/>
    <n v="4.0999999999999996"/>
    <n v="19"/>
    <n v="0.92692307692307696"/>
    <s v="Active"/>
    <m/>
    <n v="5"/>
    <n v="0"/>
  </r>
  <r>
    <s v="E1034"/>
    <s v="Ella Davies"/>
    <x v="2"/>
    <x v="1"/>
    <n v="40970"/>
    <s v="23/12/2021"/>
    <n v="1024"/>
    <n v="250"/>
    <n v="4.5999999999999996"/>
    <n v="10"/>
    <n v="0.96153846153846156"/>
    <s v="Active"/>
    <m/>
    <n v="3"/>
    <n v="0"/>
  </r>
  <r>
    <s v="E1035"/>
    <s v="Emily Wilson"/>
    <x v="4"/>
    <x v="3"/>
    <n v="38750"/>
    <s v="27/01/2021"/>
    <n v="1260"/>
    <n v="214"/>
    <n v="3.8"/>
    <n v="46"/>
    <n v="0.82307692307692304"/>
    <s v="Active"/>
    <m/>
    <n v="4"/>
    <n v="0"/>
  </r>
  <r>
    <s v="E1036"/>
    <s v="James Brown"/>
    <x v="2"/>
    <x v="4"/>
    <n v="43235"/>
    <s v="30/08/2016"/>
    <n v="2411"/>
    <n v="221"/>
    <n v="3.8"/>
    <n v="39"/>
    <n v="0.85"/>
    <s v="Active"/>
    <m/>
    <n v="9"/>
    <n v="0"/>
  </r>
  <r>
    <s v="E1037"/>
    <s v="Harry Brown"/>
    <x v="0"/>
    <x v="1"/>
    <n v="48550"/>
    <s v="23/07/2021"/>
    <n v="1133"/>
    <n v="250"/>
    <n v="4.2"/>
    <n v="10"/>
    <n v="0.96153846153846156"/>
    <s v="Active"/>
    <m/>
    <n v="4"/>
    <n v="0"/>
  </r>
  <r>
    <s v="E1038"/>
    <s v="William Evans"/>
    <x v="2"/>
    <x v="5"/>
    <n v="35551"/>
    <s v="09/11/2017"/>
    <n v="2099"/>
    <n v="258"/>
    <n v="3.8"/>
    <n v="2"/>
    <n v="0.99230769230769234"/>
    <s v="Active"/>
    <m/>
    <n v="8"/>
    <n v="0"/>
  </r>
  <r>
    <s v="E1039"/>
    <s v="George Taylor"/>
    <x v="6"/>
    <x v="0"/>
    <n v="49715"/>
    <s v="23/01/2020"/>
    <n v="1524"/>
    <n v="236"/>
    <n v="4.4000000000000004"/>
    <n v="24"/>
    <n v="0.90769230769230769"/>
    <s v="Active"/>
    <m/>
    <n v="5"/>
    <n v="0"/>
  </r>
  <r>
    <s v="E1040"/>
    <s v="Harry Brown"/>
    <x v="4"/>
    <x v="0"/>
    <n v="27465"/>
    <s v="13/07/2015"/>
    <n v="2707"/>
    <n v="207"/>
    <n v="3.8"/>
    <n v="53"/>
    <n v="0.7961538461538461"/>
    <s v="Active"/>
    <m/>
    <n v="10"/>
    <n v="0"/>
  </r>
  <r>
    <s v="E1041"/>
    <s v="Daniel Smith"/>
    <x v="0"/>
    <x v="4"/>
    <n v="38212"/>
    <s v="20/09/2022"/>
    <n v="831"/>
    <n v="235"/>
    <n v="3.5"/>
    <n v="25"/>
    <n v="0.90384615384615385"/>
    <s v="Active"/>
    <m/>
    <n v="3"/>
    <n v="0"/>
  </r>
  <r>
    <s v="E1042"/>
    <s v="Lily Smith"/>
    <x v="1"/>
    <x v="2"/>
    <n v="42630"/>
    <s v="22/07/2015"/>
    <n v="2700"/>
    <n v="255"/>
    <n v="4.5999999999999996"/>
    <n v="5"/>
    <n v="0.98076923076923073"/>
    <s v="Active"/>
    <m/>
    <n v="10"/>
    <n v="0"/>
  </r>
  <r>
    <s v="E1043"/>
    <s v="Sophie Smith"/>
    <x v="2"/>
    <x v="4"/>
    <n v="62233"/>
    <s v="16/09/2021"/>
    <n v="1094"/>
    <n v="209"/>
    <n v="3.4"/>
    <n v="51"/>
    <n v="0.80384615384615388"/>
    <s v="Active"/>
    <m/>
    <n v="4"/>
    <n v="0"/>
  </r>
  <r>
    <s v="E1044"/>
    <s v="Henry Johnson"/>
    <x v="5"/>
    <x v="1"/>
    <n v="52472"/>
    <s v="30/12/2016"/>
    <n v="2323"/>
    <n v="238"/>
    <n v="3.3"/>
    <n v="22"/>
    <n v="0.91538461538461535"/>
    <s v="Active"/>
    <m/>
    <n v="8"/>
    <n v="0"/>
  </r>
  <r>
    <s v="E1045"/>
    <s v="Olivia Thomas"/>
    <x v="4"/>
    <x v="0"/>
    <n v="31195"/>
    <s v="09/07/2020"/>
    <n v="1404"/>
    <n v="260"/>
    <n v="3.5"/>
    <n v="0"/>
    <n v="1"/>
    <s v="Active"/>
    <m/>
    <n v="5"/>
    <n v="0"/>
  </r>
  <r>
    <s v="E1046"/>
    <s v="Charlie Taylor"/>
    <x v="0"/>
    <x v="5"/>
    <n v="42630"/>
    <s v="31/10/2016"/>
    <n v="2367"/>
    <n v="201"/>
    <n v="3.4"/>
    <n v="59"/>
    <n v="0.77307692307692311"/>
    <s v="Leaver"/>
    <d v="2017-11-05T00:00:00"/>
    <n v="1"/>
    <n v="0"/>
  </r>
  <r>
    <s v="E1047"/>
    <s v="Sophie Brown"/>
    <x v="0"/>
    <x v="2"/>
    <n v="39402"/>
    <s v="24/03/2019"/>
    <n v="1742"/>
    <n v="243"/>
    <n v="3.3"/>
    <n v="17"/>
    <n v="0.93461538461538463"/>
    <s v="Active"/>
    <m/>
    <n v="6"/>
    <n v="0"/>
  </r>
  <r>
    <s v="E1048"/>
    <s v="Charlie Johnson"/>
    <x v="1"/>
    <x v="3"/>
    <n v="58849"/>
    <s v="26/02/2017"/>
    <n v="2282"/>
    <n v="258"/>
    <n v="3"/>
    <n v="2"/>
    <n v="0.99230769230769234"/>
    <s v="Active"/>
    <m/>
    <n v="8"/>
    <n v="0"/>
  </r>
  <r>
    <s v="E1049"/>
    <s v="Oliver Roberts"/>
    <x v="2"/>
    <x v="0"/>
    <n v="32296"/>
    <s v="02/04/2018"/>
    <n v="1997"/>
    <n v="218"/>
    <n v="3.3"/>
    <n v="42"/>
    <n v="0.83846153846153848"/>
    <s v="Active"/>
    <m/>
    <n v="7"/>
    <n v="0"/>
  </r>
  <r>
    <s v="E1050"/>
    <s v="Jack Dalloway"/>
    <x v="4"/>
    <x v="2"/>
    <n v="27450"/>
    <d v="2025-01-25T00:00:00"/>
    <n v="217"/>
    <n v="210"/>
    <n v="4.5"/>
    <n v="7"/>
    <n v="0.967741935483871"/>
    <s v="Active"/>
    <m/>
    <n v="0"/>
    <n v="1"/>
  </r>
  <r>
    <s v="E1051"/>
    <s v="Hashsham Abid"/>
    <x v="0"/>
    <x v="2"/>
    <n v="29568"/>
    <d v="2025-06-25T00:00:00"/>
    <n v="110"/>
    <n v="105"/>
    <n v="3.8"/>
    <n v="5"/>
    <n v="0.95454545454545459"/>
    <s v="Active"/>
    <m/>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E4941-1A37-4C3B-A658-574649D68583}" name="PivotTable1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3:I30" firstHeaderRow="1" firstDataRow="1" firstDataCol="0"/>
  <pivotFields count="15">
    <pivotField showAll="0"/>
    <pivotField showAll="0"/>
    <pivotField showAll="0"/>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3F0E2B-7AD5-444A-B674-0D68ADEFB52E}"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B1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dataField="1"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Performance Score" fld="8" subtotal="average" baseField="2"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91652-615B-483F-917C-BE669146BE64}"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dataField="1" numFmtId="164"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Salary (£)" fld="4" subtotal="average" baseField="2"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F82B4E-7ABE-4F73-AAEE-584153D527FB}"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dataField="1"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Count of Employee 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A325B7-ADC6-4B18-A3A2-E8D11A7B2390}" name="PivotTable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showAll="0"/>
    <pivotField dataField="1"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Percentange of Present" fld="10" subtotal="average" baseField="2" baseItem="0" numFmtId="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048E4-9178-4F05-BC1B-59B06E736B1E}" name="PivotTable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3:E1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dataField="1"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Absent Days" fld="9" subtotal="average" baseField="2" baseItem="0" numFmtId="2"/>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51E3B-720B-4B3D-9F90-B02A5ABAE877}" name="PivotTable2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5">
    <pivotField showAll="0"/>
    <pivotField showAll="0"/>
    <pivotField showAll="0"/>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dataField="1" showAll="0"/>
    <pivotField showAll="0"/>
    <pivotField showAll="0"/>
  </pivotFields>
  <rowItems count="1">
    <i/>
  </rowItems>
  <colItems count="1">
    <i/>
  </colItems>
  <dataFields count="1">
    <dataField name="Count of End Dat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2EB629-2102-4D7C-94CA-C73277CF9201}" name="PivotTable2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dataField="1"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Absent Days" fld="9"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F030C-F58D-40BC-B056-3D1CBFA14F3E}" name="PivotTable2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G1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dataField="1"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Performance Score" fld="8" subtotal="average" baseField="2"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3EAA4A-16DE-4D83-959E-24A125893ED4}" name="PivotTable2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dataField="1" numFmtId="164"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Salary (£)" fld="4"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BDE62F-2146-4F97-9D41-3A1062D2AE42}" name="PivotTable20"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3:D19" firstHeaderRow="1" firstDataRow="1" firstDataCol="1"/>
  <pivotFields count="15">
    <pivotField showAll="0"/>
    <pivotField dataField="1"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Count of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AC850F-1CDC-4562-BBE2-41EBE05D4F30}" name="PivotTable1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9" firstHeaderRow="1" firstDataRow="1" firstDataCol="1"/>
  <pivotFields count="15">
    <pivotField showAll="0"/>
    <pivotField showAll="0"/>
    <pivotField axis="axisRow" showAll="0">
      <items count="8">
        <item x="2"/>
        <item x="3"/>
        <item x="1"/>
        <item x="6"/>
        <item x="0"/>
        <item x="5"/>
        <item x="4"/>
        <item t="default"/>
      </items>
    </pivotField>
    <pivotField showAll="0">
      <items count="7">
        <item h="1" x="2"/>
        <item x="3"/>
        <item h="1" x="4"/>
        <item h="1" x="1"/>
        <item h="1" x="0"/>
        <item h="1" x="5"/>
        <item t="default"/>
      </items>
    </pivotField>
    <pivotField numFmtId="164" showAll="0"/>
    <pivotField showAll="0"/>
    <pivotField showAll="0"/>
    <pivotField showAll="0"/>
    <pivotField showAll="0"/>
    <pivotField showAll="0"/>
    <pivotField dataField="1" numFmtId="9" showAll="0"/>
    <pivotField showAll="0"/>
    <pivotField showAll="0"/>
    <pivotField showAll="0"/>
    <pivotField showAll="0"/>
  </pivotFields>
  <rowFields count="1">
    <field x="2"/>
  </rowFields>
  <rowItems count="6">
    <i>
      <x v="1"/>
    </i>
    <i>
      <x v="2"/>
    </i>
    <i>
      <x v="3"/>
    </i>
    <i>
      <x v="4"/>
    </i>
    <i>
      <x v="6"/>
    </i>
    <i t="grand">
      <x/>
    </i>
  </rowItems>
  <colItems count="1">
    <i/>
  </colItems>
  <dataFields count="1">
    <dataField name="Average of Percentange of Present" fld="10"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75D167-F866-4E67-ACF7-EDA7C9473552}" name="PivotTable18"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5">
    <pivotField showAll="0"/>
    <pivotField showAll="0"/>
    <pivotField showAll="0"/>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showAll="0"/>
    <pivotField dataField="1" showAll="0"/>
  </pivotFields>
  <rowItems count="1">
    <i/>
  </rowItems>
  <colItems count="1">
    <i/>
  </colItems>
  <dataFields count="1">
    <dataField name="Sum of New Hi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8FAC0D-6AD6-4674-A454-31E27C22B7FB}" name="PivotTable1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5">
    <pivotField showAll="0"/>
    <pivotField showAll="0"/>
    <pivotField showAll="0"/>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dataField="1" showAll="0"/>
    <pivotField showAll="0"/>
  </pivotFields>
  <rowItems count="1">
    <i/>
  </rowItems>
  <colItems count="1">
    <i/>
  </colItems>
  <dataFields count="1">
    <dataField name="Average of Tenure"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4EEE84-C213-4C31-8742-CBC2EC56D5FE}" name="PivotTable1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5">
    <pivotField dataField="1" showAll="0"/>
    <pivotField showAll="0"/>
    <pivotField showAll="0"/>
    <pivotField showAll="0">
      <items count="7">
        <item h="1" x="2"/>
        <item x="3"/>
        <item h="1" x="4"/>
        <item h="1" x="1"/>
        <item h="1" x="0"/>
        <item h="1" x="5"/>
        <item t="default"/>
      </items>
    </pivotField>
    <pivotField numFmtId="164" showAll="0"/>
    <pivotField showAll="0"/>
    <pivotField showAll="0"/>
    <pivotField showAll="0"/>
    <pivotField showAll="0"/>
    <pivotField showAll="0"/>
    <pivotField numFmtId="9"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B2EC08-356A-4F74-9298-E3215E18BA0E}" name="PivotTable1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items count="7">
        <item h="1" x="2"/>
        <item x="3"/>
        <item h="1" x="4"/>
        <item h="1" x="1"/>
        <item h="1" x="0"/>
        <item h="1" x="5"/>
        <item t="default"/>
      </items>
    </pivotField>
    <pivotField dataField="1" numFmtId="164" showAll="0"/>
    <pivotField showAll="0"/>
    <pivotField showAll="0"/>
    <pivotField showAll="0"/>
    <pivotField showAll="0"/>
    <pivotField showAll="0"/>
    <pivotField numFmtId="9" showAll="0"/>
    <pivotField showAll="0"/>
    <pivotField showAll="0"/>
    <pivotField showAll="0"/>
    <pivotField showAll="0"/>
  </pivotFields>
  <rowItems count="1">
    <i/>
  </rowItems>
  <colItems count="1">
    <i/>
  </colItems>
  <dataFields count="1">
    <dataField name="Average of Salary (£)" fld="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1" xr10:uid="{EFAD34D6-B721-4B9A-8C28-B2CACD76ED5F}" sourceName="Role">
  <pivotTables>
    <pivotTable tabId="6" name="PivotTable21"/>
    <pivotTable tabId="4" name="PivotTable14"/>
    <pivotTable tabId="4" name="PivotTable6"/>
    <pivotTable tabId="4" name="PivotTable5"/>
    <pivotTable tabId="4" name="PivotTable4"/>
    <pivotTable tabId="4" name="PivotTable3"/>
    <pivotTable tabId="4" name="PivotTable1"/>
    <pivotTable tabId="6" name="PivotTable15"/>
    <pivotTable tabId="6" name="PivotTable16"/>
    <pivotTable tabId="6" name="PivotTable17"/>
    <pivotTable tabId="6" name="PivotTable18"/>
    <pivotTable tabId="6" name="PivotTable19"/>
    <pivotTable tabId="6" name="PivotTable20"/>
    <pivotTable tabId="6" name="PivotTable22"/>
    <pivotTable tabId="6" name="PivotTable23"/>
    <pivotTable tabId="6" name="PivotTable26"/>
  </pivotTables>
  <data>
    <tabular pivotCacheId="962401121">
      <items count="6">
        <i x="2"/>
        <i x="3" s="1"/>
        <i x="4"/>
        <i x="1"/>
        <i x="0"/>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C1133D13-D360-4C48-B2F7-8850198E46A2}" cache="Slicer_Role1" caption="Role"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1" xr10:uid="{E6917D11-0B86-4DD7-AFAE-5B76DD06CC6F}" cache="Slicer_Role1" caption="Role" showCaption="0"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C20D48-7029-413D-BF9E-12B91270CB55}" name="Table2" displayName="Table2" ref="A1:O53" totalsRowShown="0" headerRowDxfId="18" dataDxfId="16" headerRowBorderDxfId="17" tableBorderDxfId="15">
  <autoFilter ref="A1:O53" xr:uid="{EDC20D48-7029-413D-BF9E-12B91270CB55}"/>
  <tableColumns count="15">
    <tableColumn id="1" xr3:uid="{E8BFCD37-9C9E-4E46-8D13-8B9CF7851CD9}" name="Employee ID" dataDxfId="14"/>
    <tableColumn id="2" xr3:uid="{C29BFC03-D6F9-4751-B0D9-621B33D65C8A}" name="Name" dataDxfId="13"/>
    <tableColumn id="3" xr3:uid="{98B282A5-CCD0-4FCF-BD5D-B3CA0B99FD07}" name="Department" dataDxfId="12"/>
    <tableColumn id="4" xr3:uid="{E6DD4C3E-290E-4CE6-B6F4-1C725F1F1DA1}" name="Role" dataDxfId="11"/>
    <tableColumn id="5" xr3:uid="{DC318945-9796-4E52-8398-264C8F892820}" name="Salary (£)" dataDxfId="10"/>
    <tableColumn id="6" xr3:uid="{5D67FD71-4110-4768-95B7-0AC81C4907E1}" name="Join Date" dataDxfId="9"/>
    <tableColumn id="17" xr3:uid="{71B318B4-6F47-44C4-8A5C-2EA967389257}" name="Working Days" dataDxfId="1">
      <calculatedColumnFormula>NETWORKDAYS(Table2[[#This Row],[Join Date]],TODAY())</calculatedColumnFormula>
    </tableColumn>
    <tableColumn id="7" xr3:uid="{02541271-ED8F-48DC-8020-6335291885DB}" name="Days Present (last 12 months)" dataDxfId="8"/>
    <tableColumn id="8" xr3:uid="{1D7D1310-78C3-486E-9B18-EC2FA5D06CC6}" name="Performance Score" dataDxfId="7"/>
    <tableColumn id="9" xr3:uid="{552C2330-3DF2-4EAE-B9A6-5D575604FF25}" name="Absent Days" dataDxfId="0">
      <calculatedColumnFormula>IF(Table2[[#This Row],[Working Days]]&lt;=260,Table2[[#This Row],[Working Days]]-Table2[[#This Row],[Days Present (last 12 months)]],260-Table2[[#This Row],[Days Present (last 12 months)]])</calculatedColumnFormula>
    </tableColumn>
    <tableColumn id="10" xr3:uid="{C634FD3F-C966-4E14-AEA7-A953451B2825}" name="Percentange of Present" dataDxfId="6" dataCellStyle="Percent">
      <calculatedColumnFormula>Table2[[#This Row],[Days Present (last 12 months)]]/(Table2[[#This Row],[Days Present (last 12 months)]]+Table2[[#This Row],[Absent Days]])</calculatedColumnFormula>
    </tableColumn>
    <tableColumn id="12" xr3:uid="{C2528636-AA0B-4C41-8EA8-BCDE125ACF33}" name="Status" dataDxfId="5"/>
    <tableColumn id="13" xr3:uid="{7FCE6DEF-D0DE-4691-97DE-29C8310B0C05}" name="End Date" dataDxfId="4"/>
    <tableColumn id="14" xr3:uid="{BBF24839-32C4-4DFE-A729-09C97D6E9846}" name="Tenure" dataDxfId="3">
      <calculatedColumnFormula>IF(Table2[[#This Row],[Status]]="Leaver",DATEDIF(Table2[[#This Row],[Join Date]],Table2[[#This Row],[End Date]],"Y"),DATEDIF(Table2[[#This Row],[Join Date]],TODAY(),"Y"))</calculatedColumnFormula>
    </tableColumn>
    <tableColumn id="15" xr3:uid="{C8715A29-C089-4A2C-B191-69917D3084E0}" name="New Hire" dataDxfId="2">
      <calculatedColumnFormula>COUNTIF(Table2[[#This Row],[Join Date]],"&gt;=" &amp; EDATE(TODAY(),-12))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0"/>
  <sheetViews>
    <sheetView workbookViewId="0"/>
  </sheetViews>
  <sheetFormatPr defaultRowHeight="15" x14ac:dyDescent="0.25"/>
  <sheetData>
    <row r="1" spans="1:1" x14ac:dyDescent="0.25">
      <c r="A1" s="1" t="s">
        <v>0</v>
      </c>
    </row>
    <row r="2" spans="1:1" x14ac:dyDescent="0.25">
      <c r="A2"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1915-0F70-4111-9D78-A08D9B2FDE10}">
  <sheetPr codeName="Sheet2"/>
  <dimension ref="A3:I30"/>
  <sheetViews>
    <sheetView workbookViewId="0">
      <selection activeCell="I5" sqref="I5"/>
    </sheetView>
  </sheetViews>
  <sheetFormatPr defaultRowHeight="15" x14ac:dyDescent="0.25"/>
  <cols>
    <col min="1" max="1" width="13.140625" bestFit="1" customWidth="1"/>
    <col min="2" max="2" width="20.42578125" bestFit="1" customWidth="1"/>
    <col min="3" max="3" width="3" customWidth="1"/>
    <col min="4" max="4" width="13.140625" bestFit="1" customWidth="1"/>
    <col min="5" max="5" width="22.28515625" bestFit="1" customWidth="1"/>
    <col min="6" max="6" width="3.85546875" customWidth="1"/>
    <col min="7" max="7" width="13.140625" bestFit="1" customWidth="1"/>
    <col min="8" max="8" width="19.42578125" bestFit="1" customWidth="1"/>
    <col min="9" max="19" width="16.28515625" bestFit="1" customWidth="1"/>
    <col min="20" max="21" width="11.28515625" bestFit="1" customWidth="1"/>
  </cols>
  <sheetData>
    <row r="3" spans="1:9" x14ac:dyDescent="0.25">
      <c r="A3" s="16" t="s">
        <v>182</v>
      </c>
      <c r="B3" t="s">
        <v>184</v>
      </c>
      <c r="D3" s="16" t="s">
        <v>182</v>
      </c>
      <c r="E3" t="s">
        <v>189</v>
      </c>
      <c r="G3" s="16" t="s">
        <v>182</v>
      </c>
      <c r="H3" t="s">
        <v>185</v>
      </c>
    </row>
    <row r="4" spans="1:9" x14ac:dyDescent="0.25">
      <c r="A4" s="17" t="s">
        <v>37</v>
      </c>
      <c r="B4" s="34">
        <v>1</v>
      </c>
      <c r="D4" s="17" t="s">
        <v>37</v>
      </c>
      <c r="E4" s="19">
        <v>0.97692307692307689</v>
      </c>
      <c r="G4" s="17" t="s">
        <v>37</v>
      </c>
      <c r="H4" s="18">
        <v>56814</v>
      </c>
    </row>
    <row r="5" spans="1:9" x14ac:dyDescent="0.25">
      <c r="A5" s="17" t="s">
        <v>24</v>
      </c>
      <c r="B5" s="34">
        <v>2</v>
      </c>
      <c r="D5" s="17" t="s">
        <v>24</v>
      </c>
      <c r="E5" s="19">
        <v>0.94230769230769229</v>
      </c>
      <c r="G5" s="17" t="s">
        <v>24</v>
      </c>
      <c r="H5" s="18">
        <v>56065.5</v>
      </c>
    </row>
    <row r="6" spans="1:9" x14ac:dyDescent="0.25">
      <c r="A6" s="17" t="s">
        <v>86</v>
      </c>
      <c r="B6" s="34">
        <v>1</v>
      </c>
      <c r="D6" s="17" t="s">
        <v>86</v>
      </c>
      <c r="E6" s="19">
        <v>0.7961538461538461</v>
      </c>
      <c r="G6" s="17" t="s">
        <v>86</v>
      </c>
      <c r="H6" s="18">
        <v>26776</v>
      </c>
    </row>
    <row r="7" spans="1:9" x14ac:dyDescent="0.25">
      <c r="A7" s="17" t="s">
        <v>19</v>
      </c>
      <c r="B7" s="34">
        <v>1</v>
      </c>
      <c r="D7" s="17" t="s">
        <v>19</v>
      </c>
      <c r="E7" s="19">
        <v>0.81538461538461537</v>
      </c>
      <c r="G7" s="17" t="s">
        <v>19</v>
      </c>
      <c r="H7" s="18">
        <v>54815</v>
      </c>
    </row>
    <row r="8" spans="1:9" x14ac:dyDescent="0.25">
      <c r="A8" s="17" t="s">
        <v>45</v>
      </c>
      <c r="B8" s="34">
        <v>2</v>
      </c>
      <c r="D8" s="17" t="s">
        <v>45</v>
      </c>
      <c r="E8" s="19">
        <v>0.87692307692307692</v>
      </c>
      <c r="G8" s="17" t="s">
        <v>45</v>
      </c>
      <c r="H8" s="18">
        <v>46087.5</v>
      </c>
    </row>
    <row r="9" spans="1:9" x14ac:dyDescent="0.25">
      <c r="A9" s="17" t="s">
        <v>183</v>
      </c>
      <c r="B9" s="34">
        <v>7</v>
      </c>
      <c r="D9" s="17" t="s">
        <v>183</v>
      </c>
      <c r="E9" s="19">
        <v>0.88956043956043962</v>
      </c>
      <c r="G9" s="17" t="s">
        <v>183</v>
      </c>
      <c r="H9" s="18">
        <v>48958.714285714283</v>
      </c>
    </row>
    <row r="13" spans="1:9" x14ac:dyDescent="0.25">
      <c r="A13" s="16" t="s">
        <v>182</v>
      </c>
      <c r="B13" t="s">
        <v>186</v>
      </c>
      <c r="D13" s="16" t="s">
        <v>182</v>
      </c>
      <c r="E13" t="s">
        <v>187</v>
      </c>
      <c r="G13" s="25"/>
      <c r="H13" s="26"/>
      <c r="I13" s="27"/>
    </row>
    <row r="14" spans="1:9" x14ac:dyDescent="0.25">
      <c r="A14" s="17" t="s">
        <v>37</v>
      </c>
      <c r="B14" s="10">
        <v>4.4000000000000004</v>
      </c>
      <c r="D14" s="17" t="s">
        <v>37</v>
      </c>
      <c r="E14" s="10">
        <v>6</v>
      </c>
      <c r="G14" s="28"/>
      <c r="H14" s="29"/>
      <c r="I14" s="30"/>
    </row>
    <row r="15" spans="1:9" x14ac:dyDescent="0.25">
      <c r="A15" s="17" t="s">
        <v>24</v>
      </c>
      <c r="B15" s="10">
        <v>3.7</v>
      </c>
      <c r="D15" s="17" t="s">
        <v>24</v>
      </c>
      <c r="E15" s="10">
        <v>15</v>
      </c>
      <c r="G15" s="28"/>
      <c r="H15" s="29"/>
      <c r="I15" s="30"/>
    </row>
    <row r="16" spans="1:9" x14ac:dyDescent="0.25">
      <c r="A16" s="17" t="s">
        <v>86</v>
      </c>
      <c r="B16" s="10">
        <v>4.2</v>
      </c>
      <c r="D16" s="17" t="s">
        <v>86</v>
      </c>
      <c r="E16" s="10">
        <v>53</v>
      </c>
      <c r="G16" s="28"/>
      <c r="H16" s="29"/>
      <c r="I16" s="30"/>
    </row>
    <row r="17" spans="1:9" x14ac:dyDescent="0.25">
      <c r="A17" s="17" t="s">
        <v>19</v>
      </c>
      <c r="B17" s="10">
        <v>3</v>
      </c>
      <c r="D17" s="17" t="s">
        <v>19</v>
      </c>
      <c r="E17" s="10">
        <v>48</v>
      </c>
      <c r="G17" s="28"/>
      <c r="H17" s="29"/>
      <c r="I17" s="30"/>
    </row>
    <row r="18" spans="1:9" x14ac:dyDescent="0.25">
      <c r="A18" s="17" t="s">
        <v>45</v>
      </c>
      <c r="B18" s="10">
        <v>4.1500000000000004</v>
      </c>
      <c r="D18" s="17" t="s">
        <v>45</v>
      </c>
      <c r="E18" s="10">
        <v>32</v>
      </c>
      <c r="G18" s="28"/>
      <c r="H18" s="29"/>
      <c r="I18" s="30"/>
    </row>
    <row r="19" spans="1:9" x14ac:dyDescent="0.25">
      <c r="A19" s="17" t="s">
        <v>183</v>
      </c>
      <c r="B19" s="10">
        <v>3.9</v>
      </c>
      <c r="D19" s="17" t="s">
        <v>183</v>
      </c>
      <c r="E19" s="10">
        <v>28.714285714285715</v>
      </c>
      <c r="G19" s="28"/>
      <c r="H19" s="29"/>
      <c r="I19" s="30"/>
    </row>
    <row r="20" spans="1:9" x14ac:dyDescent="0.25">
      <c r="G20" s="28"/>
      <c r="H20" s="29"/>
      <c r="I20" s="30"/>
    </row>
    <row r="21" spans="1:9" x14ac:dyDescent="0.25">
      <c r="G21" s="28"/>
      <c r="H21" s="29"/>
      <c r="I21" s="30"/>
    </row>
    <row r="22" spans="1:9" x14ac:dyDescent="0.25">
      <c r="G22" s="28"/>
      <c r="H22" s="29"/>
      <c r="I22" s="30"/>
    </row>
    <row r="23" spans="1:9" x14ac:dyDescent="0.25">
      <c r="G23" s="28"/>
      <c r="H23" s="29"/>
      <c r="I23" s="30"/>
    </row>
    <row r="24" spans="1:9" x14ac:dyDescent="0.25">
      <c r="G24" s="28"/>
      <c r="H24" s="29"/>
      <c r="I24" s="30"/>
    </row>
    <row r="25" spans="1:9" x14ac:dyDescent="0.25">
      <c r="G25" s="28"/>
      <c r="H25" s="29"/>
      <c r="I25" s="30"/>
    </row>
    <row r="26" spans="1:9" x14ac:dyDescent="0.25">
      <c r="G26" s="28"/>
      <c r="H26" s="29"/>
      <c r="I26" s="30"/>
    </row>
    <row r="27" spans="1:9" x14ac:dyDescent="0.25">
      <c r="G27" s="28"/>
      <c r="H27" s="29"/>
      <c r="I27" s="30"/>
    </row>
    <row r="28" spans="1:9" x14ac:dyDescent="0.25">
      <c r="G28" s="28"/>
      <c r="H28" s="29"/>
      <c r="I28" s="30"/>
    </row>
    <row r="29" spans="1:9" x14ac:dyDescent="0.25">
      <c r="G29" s="28"/>
      <c r="H29" s="29"/>
      <c r="I29" s="30"/>
    </row>
    <row r="30" spans="1:9" x14ac:dyDescent="0.25">
      <c r="G30" s="31"/>
      <c r="H30" s="32"/>
      <c r="I30"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3134-0802-45F4-88E8-09A0C3A1B054}">
  <sheetPr codeName="Sheet3"/>
  <dimension ref="A1"/>
  <sheetViews>
    <sheetView showGridLines="0" topLeftCell="A2" workbookViewId="0">
      <selection activeCell="U9" sqref="U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580F-583E-4FBA-9225-213EB98FCBD8}">
  <sheetPr codeName="Sheet4"/>
  <dimension ref="A3:M19"/>
  <sheetViews>
    <sheetView topLeftCell="A2" workbookViewId="0">
      <selection activeCell="D7" sqref="D7"/>
    </sheetView>
  </sheetViews>
  <sheetFormatPr defaultRowHeight="15" x14ac:dyDescent="0.25"/>
  <cols>
    <col min="1" max="2" width="17" bestFit="1" customWidth="1"/>
    <col min="3" max="3" width="13.140625" bestFit="1" customWidth="1"/>
    <col min="4" max="5" width="14.42578125" bestFit="1" customWidth="1"/>
    <col min="6" max="6" width="13.140625" bestFit="1" customWidth="1"/>
    <col min="7" max="7" width="28.28515625" bestFit="1" customWidth="1"/>
    <col min="8" max="8" width="7" customWidth="1"/>
    <col min="9" max="9" width="13.140625" bestFit="1" customWidth="1"/>
    <col min="10" max="10" width="22.28515625" bestFit="1" customWidth="1"/>
    <col min="11" max="11" width="14.5703125" bestFit="1" customWidth="1"/>
    <col min="12" max="12" width="19.7109375" customWidth="1"/>
    <col min="13" max="13" width="10.5703125" bestFit="1" customWidth="1"/>
  </cols>
  <sheetData>
    <row r="3" spans="1:13" x14ac:dyDescent="0.25">
      <c r="A3" t="s">
        <v>185</v>
      </c>
      <c r="C3" s="16" t="s">
        <v>182</v>
      </c>
      <c r="D3" t="s">
        <v>189</v>
      </c>
      <c r="F3" s="16" t="s">
        <v>182</v>
      </c>
      <c r="G3" t="s">
        <v>185</v>
      </c>
      <c r="I3" s="16" t="s">
        <v>182</v>
      </c>
      <c r="J3" t="s">
        <v>187</v>
      </c>
      <c r="L3" t="s">
        <v>192</v>
      </c>
      <c r="M3" s="34">
        <f>GETPIVOTDATA("Employee ID",$A$6)</f>
        <v>7</v>
      </c>
    </row>
    <row r="4" spans="1:13" x14ac:dyDescent="0.25">
      <c r="A4" s="18">
        <v>48958.714285714283</v>
      </c>
      <c r="C4" s="17" t="s">
        <v>37</v>
      </c>
      <c r="D4" s="19">
        <v>0.97692307692307689</v>
      </c>
      <c r="F4" s="17" t="s">
        <v>37</v>
      </c>
      <c r="G4" s="18">
        <v>56814</v>
      </c>
      <c r="I4" s="17" t="s">
        <v>37</v>
      </c>
      <c r="J4" s="10">
        <v>6</v>
      </c>
      <c r="L4" t="s">
        <v>208</v>
      </c>
      <c r="M4" s="38">
        <f>GETPIVOTDATA("Salary (£)",$A$3)</f>
        <v>48958.714285714283</v>
      </c>
    </row>
    <row r="5" spans="1:13" x14ac:dyDescent="0.25">
      <c r="C5" s="17" t="s">
        <v>24</v>
      </c>
      <c r="D5" s="19">
        <v>0.94230769230769229</v>
      </c>
      <c r="F5" s="17" t="s">
        <v>24</v>
      </c>
      <c r="G5" s="18">
        <v>56065.5</v>
      </c>
      <c r="I5" s="17" t="s">
        <v>24</v>
      </c>
      <c r="J5" s="10">
        <v>15</v>
      </c>
      <c r="L5" t="s">
        <v>194</v>
      </c>
      <c r="M5" s="10">
        <f>GETPIVOTDATA("Tenure",$A$9)</f>
        <v>6.8571428571428568</v>
      </c>
    </row>
    <row r="6" spans="1:13" x14ac:dyDescent="0.25">
      <c r="A6" t="s">
        <v>184</v>
      </c>
      <c r="C6" s="17" t="s">
        <v>86</v>
      </c>
      <c r="D6" s="19">
        <v>0.7961538461538461</v>
      </c>
      <c r="F6" s="17" t="s">
        <v>86</v>
      </c>
      <c r="G6" s="18">
        <v>26776</v>
      </c>
      <c r="I6" s="17" t="s">
        <v>86</v>
      </c>
      <c r="J6" s="10">
        <v>53</v>
      </c>
      <c r="L6" t="s">
        <v>200</v>
      </c>
      <c r="M6">
        <f>GETPIVOTDATA("New Hire",$A$12)</f>
        <v>0</v>
      </c>
    </row>
    <row r="7" spans="1:13" x14ac:dyDescent="0.25">
      <c r="A7" s="34">
        <v>7</v>
      </c>
      <c r="C7" s="17" t="s">
        <v>19</v>
      </c>
      <c r="D7" s="19">
        <v>0.81538461538461537</v>
      </c>
      <c r="F7" s="17" t="s">
        <v>19</v>
      </c>
      <c r="G7" s="18">
        <v>54815</v>
      </c>
      <c r="I7" s="17" t="s">
        <v>19</v>
      </c>
      <c r="J7" s="10">
        <v>48</v>
      </c>
      <c r="L7" t="s">
        <v>210</v>
      </c>
      <c r="M7" s="22">
        <f>GETPIVOTDATA("End Date",$A$15)/GETPIVOTDATA("Employee ID",$A$6)</f>
        <v>0</v>
      </c>
    </row>
    <row r="8" spans="1:13" x14ac:dyDescent="0.25">
      <c r="C8" s="17" t="s">
        <v>45</v>
      </c>
      <c r="D8" s="19">
        <v>0.87692307692307692</v>
      </c>
      <c r="F8" s="17" t="s">
        <v>45</v>
      </c>
      <c r="G8" s="18">
        <v>46087.5</v>
      </c>
      <c r="I8" s="17" t="s">
        <v>45</v>
      </c>
      <c r="J8" s="10">
        <v>32</v>
      </c>
    </row>
    <row r="9" spans="1:13" x14ac:dyDescent="0.25">
      <c r="A9" t="s">
        <v>195</v>
      </c>
      <c r="C9" s="17" t="s">
        <v>183</v>
      </c>
      <c r="D9" s="19">
        <v>0.88956043956043962</v>
      </c>
      <c r="F9" s="17" t="s">
        <v>183</v>
      </c>
      <c r="G9" s="18">
        <v>48958.714285714283</v>
      </c>
      <c r="I9" s="17" t="s">
        <v>183</v>
      </c>
      <c r="J9" s="10">
        <v>28.714285714285715</v>
      </c>
    </row>
    <row r="10" spans="1:13" x14ac:dyDescent="0.25">
      <c r="A10" s="10">
        <v>6.8571428571428568</v>
      </c>
    </row>
    <row r="12" spans="1:13" x14ac:dyDescent="0.25">
      <c r="A12" t="s">
        <v>207</v>
      </c>
    </row>
    <row r="13" spans="1:13" x14ac:dyDescent="0.25">
      <c r="A13" s="34">
        <v>0</v>
      </c>
      <c r="C13" s="16" t="s">
        <v>182</v>
      </c>
      <c r="D13" t="s">
        <v>206</v>
      </c>
      <c r="F13" s="16" t="s">
        <v>182</v>
      </c>
      <c r="G13" t="s">
        <v>186</v>
      </c>
    </row>
    <row r="14" spans="1:13" x14ac:dyDescent="0.25">
      <c r="C14" s="17" t="s">
        <v>37</v>
      </c>
      <c r="D14" s="34">
        <v>1</v>
      </c>
      <c r="F14" s="17" t="s">
        <v>37</v>
      </c>
      <c r="G14" s="10">
        <v>4.4000000000000004</v>
      </c>
    </row>
    <row r="15" spans="1:13" x14ac:dyDescent="0.25">
      <c r="A15" t="s">
        <v>209</v>
      </c>
      <c r="C15" s="17" t="s">
        <v>24</v>
      </c>
      <c r="D15" s="34">
        <v>2</v>
      </c>
      <c r="F15" s="17" t="s">
        <v>24</v>
      </c>
      <c r="G15" s="10">
        <v>3.7</v>
      </c>
    </row>
    <row r="16" spans="1:13" x14ac:dyDescent="0.25">
      <c r="A16" s="34"/>
      <c r="C16" s="17" t="s">
        <v>86</v>
      </c>
      <c r="D16" s="34">
        <v>1</v>
      </c>
      <c r="F16" s="17" t="s">
        <v>86</v>
      </c>
      <c r="G16" s="10">
        <v>4.2</v>
      </c>
    </row>
    <row r="17" spans="3:7" x14ac:dyDescent="0.25">
      <c r="C17" s="17" t="s">
        <v>19</v>
      </c>
      <c r="D17" s="34">
        <v>1</v>
      </c>
      <c r="F17" s="17" t="s">
        <v>19</v>
      </c>
      <c r="G17" s="10">
        <v>3</v>
      </c>
    </row>
    <row r="18" spans="3:7" x14ac:dyDescent="0.25">
      <c r="C18" s="17" t="s">
        <v>45</v>
      </c>
      <c r="D18" s="34">
        <v>2</v>
      </c>
      <c r="F18" s="17" t="s">
        <v>45</v>
      </c>
      <c r="G18" s="10">
        <v>4.1500000000000004</v>
      </c>
    </row>
    <row r="19" spans="3:7" x14ac:dyDescent="0.25">
      <c r="C19" s="17" t="s">
        <v>183</v>
      </c>
      <c r="D19" s="34">
        <v>7</v>
      </c>
      <c r="F19" s="17" t="s">
        <v>183</v>
      </c>
      <c r="G19" s="10">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139A-26E0-48B3-B0F4-425254E5A441}">
  <sheetPr codeName="Sheet5"/>
  <dimension ref="A1"/>
  <sheetViews>
    <sheetView tabSelected="1" workbookViewId="0">
      <selection activeCell="S5" sqref="S5"/>
    </sheetView>
  </sheetViews>
  <sheetFormatPr defaultRowHeight="15" x14ac:dyDescent="0.25"/>
  <sheetData>
    <row r="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O53"/>
  <sheetViews>
    <sheetView topLeftCell="A2" workbookViewId="0"/>
  </sheetViews>
  <sheetFormatPr defaultRowHeight="15" x14ac:dyDescent="0.25"/>
  <cols>
    <col min="1" max="1" width="14.28515625" style="2" customWidth="1"/>
    <col min="2" max="2" width="15.28515625" style="2" bestFit="1" customWidth="1"/>
    <col min="3" max="3" width="17.28515625" style="2" bestFit="1" customWidth="1"/>
    <col min="4" max="4" width="11.5703125" style="2" bestFit="1" customWidth="1"/>
    <col min="5" max="5" width="11.28515625" style="2" customWidth="1"/>
    <col min="6" max="7" width="29.140625" style="2" customWidth="1"/>
    <col min="8" max="8" width="19.85546875" style="2" customWidth="1"/>
    <col min="9" max="9" width="14" style="2" customWidth="1"/>
    <col min="10" max="10" width="26.7109375" style="22" bestFit="1" customWidth="1"/>
    <col min="12" max="12" width="10.7109375" bestFit="1" customWidth="1"/>
    <col min="13" max="13" width="13.42578125" bestFit="1" customWidth="1"/>
  </cols>
  <sheetData>
    <row r="1" spans="1:15" x14ac:dyDescent="0.25">
      <c r="A1" s="4" t="s">
        <v>9</v>
      </c>
      <c r="B1" s="4" t="s">
        <v>10</v>
      </c>
      <c r="C1" s="4" t="s">
        <v>11</v>
      </c>
      <c r="D1" s="4" t="s">
        <v>12</v>
      </c>
      <c r="E1" s="4" t="s">
        <v>13</v>
      </c>
      <c r="F1" s="4" t="s">
        <v>14</v>
      </c>
      <c r="G1" s="5" t="s">
        <v>205</v>
      </c>
      <c r="H1" s="4" t="s">
        <v>15</v>
      </c>
      <c r="I1" s="4" t="s">
        <v>16</v>
      </c>
      <c r="J1" s="5" t="s">
        <v>177</v>
      </c>
      <c r="K1" s="21" t="s">
        <v>188</v>
      </c>
      <c r="L1" s="4" t="s">
        <v>196</v>
      </c>
      <c r="M1" s="4" t="s">
        <v>199</v>
      </c>
      <c r="N1" s="4" t="s">
        <v>193</v>
      </c>
      <c r="O1" s="4" t="s">
        <v>200</v>
      </c>
    </row>
    <row r="2" spans="1:15" x14ac:dyDescent="0.25">
      <c r="A2" s="2" t="s">
        <v>17</v>
      </c>
      <c r="B2" s="2" t="s">
        <v>18</v>
      </c>
      <c r="C2" s="2" t="s">
        <v>19</v>
      </c>
      <c r="D2" s="2" t="s">
        <v>20</v>
      </c>
      <c r="E2" s="3">
        <v>25957</v>
      </c>
      <c r="F2" s="2" t="s">
        <v>21</v>
      </c>
      <c r="G2" s="2">
        <f ca="1">NETWORKDAYS(Table2[[#This Row],[Join Date]],TODAY())</f>
        <v>1884</v>
      </c>
      <c r="H2" s="2">
        <v>232</v>
      </c>
      <c r="I2" s="2">
        <v>3.6</v>
      </c>
      <c r="J2" s="2">
        <f ca="1">IF(Table2[[#This Row],[Working Days]]&lt;=260,Table2[[#This Row],[Working Days]]-Table2[[#This Row],[Days Present (last 12 months)]],260-Table2[[#This Row],[Days Present (last 12 months)]])</f>
        <v>28</v>
      </c>
      <c r="K2" s="20">
        <f ca="1">Table2[[#This Row],[Days Present (last 12 months)]]/(Table2[[#This Row],[Days Present (last 12 months)]]+Table2[[#This Row],[Absent Days]])</f>
        <v>0.89230769230769236</v>
      </c>
      <c r="L2" s="2" t="s">
        <v>198</v>
      </c>
      <c r="M2" s="2"/>
      <c r="N2" s="2">
        <f ca="1">IF(Table2[[#This Row],[Status]]="Leaver",DATEDIF(Table2[[#This Row],[Join Date]],Table2[[#This Row],[End Date]],"Y"),DATEDIF(Table2[[#This Row],[Join Date]],TODAY(),"Y"))</f>
        <v>7</v>
      </c>
      <c r="O2" s="2">
        <f ca="1">COUNTIF(Table2[[#This Row],[Join Date]],"&gt;=" &amp; EDATE(TODAY(),-12))</f>
        <v>0</v>
      </c>
    </row>
    <row r="3" spans="1:15" x14ac:dyDescent="0.25">
      <c r="A3" s="2" t="s">
        <v>22</v>
      </c>
      <c r="B3" s="2" t="s">
        <v>23</v>
      </c>
      <c r="C3" s="2" t="s">
        <v>24</v>
      </c>
      <c r="D3" s="2" t="s">
        <v>20</v>
      </c>
      <c r="E3" s="3">
        <v>64521</v>
      </c>
      <c r="F3" s="2" t="s">
        <v>25</v>
      </c>
      <c r="G3" s="2">
        <f ca="1">NETWORKDAYS(Table2[[#This Row],[Join Date]],TODAY())</f>
        <v>887</v>
      </c>
      <c r="H3" s="2">
        <v>252</v>
      </c>
      <c r="I3" s="2">
        <v>3.8</v>
      </c>
      <c r="J3" s="2">
        <f ca="1">IF(Table2[[#This Row],[Working Days]]&lt;=260,Table2[[#This Row],[Working Days]]-Table2[[#This Row],[Days Present (last 12 months)]],260-Table2[[#This Row],[Days Present (last 12 months)]])</f>
        <v>8</v>
      </c>
      <c r="K3" s="20">
        <f ca="1">Table2[[#This Row],[Days Present (last 12 months)]]/(Table2[[#This Row],[Days Present (last 12 months)]]+Table2[[#This Row],[Absent Days]])</f>
        <v>0.96923076923076923</v>
      </c>
      <c r="L3" s="2" t="s">
        <v>198</v>
      </c>
      <c r="M3" s="2"/>
      <c r="N3" s="2">
        <f ca="1">IF(Table2[[#This Row],[Status]]="Leaver",DATEDIF(Table2[[#This Row],[Join Date]],Table2[[#This Row],[End Date]],"Y"),DATEDIF(Table2[[#This Row],[Join Date]],TODAY(),"Y"))</f>
        <v>3</v>
      </c>
      <c r="O3" s="2">
        <f ca="1">COUNTIF(Table2[[#This Row],[Join Date]],"&gt;=" &amp; EDATE(TODAY(),-12))</f>
        <v>0</v>
      </c>
    </row>
    <row r="4" spans="1:15" x14ac:dyDescent="0.25">
      <c r="A4" s="2" t="s">
        <v>26</v>
      </c>
      <c r="B4" s="2" t="s">
        <v>27</v>
      </c>
      <c r="C4" s="2" t="s">
        <v>28</v>
      </c>
      <c r="D4" s="2" t="s">
        <v>29</v>
      </c>
      <c r="E4" s="3">
        <v>28090</v>
      </c>
      <c r="F4" s="2" t="s">
        <v>30</v>
      </c>
      <c r="G4" s="2">
        <f ca="1">NETWORKDAYS(Table2[[#This Row],[Join Date]],TODAY())</f>
        <v>2383</v>
      </c>
      <c r="H4" s="2">
        <v>206</v>
      </c>
      <c r="I4" s="2">
        <v>4.9000000000000004</v>
      </c>
      <c r="J4" s="2">
        <f ca="1">IF(Table2[[#This Row],[Working Days]]&lt;=260,Table2[[#This Row],[Working Days]]-Table2[[#This Row],[Days Present (last 12 months)]],260-Table2[[#This Row],[Days Present (last 12 months)]])</f>
        <v>54</v>
      </c>
      <c r="K4" s="20">
        <f ca="1">Table2[[#This Row],[Days Present (last 12 months)]]/(Table2[[#This Row],[Days Present (last 12 months)]]+Table2[[#This Row],[Absent Days]])</f>
        <v>0.79230769230769227</v>
      </c>
      <c r="L4" s="2" t="s">
        <v>198</v>
      </c>
      <c r="M4" s="2"/>
      <c r="N4" s="2">
        <f ca="1">IF(Table2[[#This Row],[Status]]="Leaver",DATEDIF(Table2[[#This Row],[Join Date]],Table2[[#This Row],[End Date]],"Y"),DATEDIF(Table2[[#This Row],[Join Date]],TODAY(),"Y"))</f>
        <v>9</v>
      </c>
      <c r="O4" s="2">
        <f ca="1">COUNTIF(Table2[[#This Row],[Join Date]],"&gt;=" &amp; EDATE(TODAY(),-12))</f>
        <v>0</v>
      </c>
    </row>
    <row r="5" spans="1:15" x14ac:dyDescent="0.25">
      <c r="A5" s="2" t="s">
        <v>31</v>
      </c>
      <c r="B5" s="2" t="s">
        <v>32</v>
      </c>
      <c r="C5" s="2" t="s">
        <v>19</v>
      </c>
      <c r="D5" s="2" t="s">
        <v>33</v>
      </c>
      <c r="E5" s="3">
        <v>52342</v>
      </c>
      <c r="F5" s="2" t="s">
        <v>34</v>
      </c>
      <c r="G5" s="2">
        <f ca="1">NETWORKDAYS(Table2[[#This Row],[Join Date]],TODAY())</f>
        <v>2507</v>
      </c>
      <c r="H5" s="2">
        <v>255</v>
      </c>
      <c r="I5" s="2">
        <v>3.7</v>
      </c>
      <c r="J5" s="2">
        <f ca="1">IF(Table2[[#This Row],[Working Days]]&lt;=260,Table2[[#This Row],[Working Days]]-Table2[[#This Row],[Days Present (last 12 months)]],260-Table2[[#This Row],[Days Present (last 12 months)]])</f>
        <v>5</v>
      </c>
      <c r="K5" s="20">
        <f ca="1">Table2[[#This Row],[Days Present (last 12 months)]]/(Table2[[#This Row],[Days Present (last 12 months)]]+Table2[[#This Row],[Absent Days]])</f>
        <v>0.98076923076923073</v>
      </c>
      <c r="L5" s="2" t="s">
        <v>198</v>
      </c>
      <c r="M5" s="2"/>
      <c r="N5" s="2">
        <f ca="1">IF(Table2[[#This Row],[Status]]="Leaver",DATEDIF(Table2[[#This Row],[Join Date]],Table2[[#This Row],[End Date]],"Y"),DATEDIF(Table2[[#This Row],[Join Date]],TODAY(),"Y"))</f>
        <v>9</v>
      </c>
      <c r="O5" s="2">
        <f ca="1">COUNTIF(Table2[[#This Row],[Join Date]],"&gt;=" &amp; EDATE(TODAY(),-12))</f>
        <v>0</v>
      </c>
    </row>
    <row r="6" spans="1:15" x14ac:dyDescent="0.25">
      <c r="A6" s="2" t="s">
        <v>35</v>
      </c>
      <c r="B6" s="2" t="s">
        <v>36</v>
      </c>
      <c r="C6" s="2" t="s">
        <v>37</v>
      </c>
      <c r="D6" s="2" t="s">
        <v>29</v>
      </c>
      <c r="E6" s="3">
        <v>60868</v>
      </c>
      <c r="F6" s="2" t="s">
        <v>38</v>
      </c>
      <c r="G6" s="2">
        <f ca="1">NETWORKDAYS(Table2[[#This Row],[Join Date]],TODAY())</f>
        <v>1327</v>
      </c>
      <c r="H6" s="2">
        <v>222</v>
      </c>
      <c r="I6" s="2">
        <v>3</v>
      </c>
      <c r="J6" s="2">
        <f ca="1">IF(Table2[[#This Row],[Working Days]]&lt;=260,Table2[[#This Row],[Working Days]]-Table2[[#This Row],[Days Present (last 12 months)]],260-Table2[[#This Row],[Days Present (last 12 months)]])</f>
        <v>38</v>
      </c>
      <c r="K6" s="20">
        <f ca="1">Table2[[#This Row],[Days Present (last 12 months)]]/(Table2[[#This Row],[Days Present (last 12 months)]]+Table2[[#This Row],[Absent Days]])</f>
        <v>0.85384615384615381</v>
      </c>
      <c r="L6" s="2" t="s">
        <v>198</v>
      </c>
      <c r="M6" s="2"/>
      <c r="N6" s="2">
        <f ca="1">IF(Table2[[#This Row],[Status]]="Leaver",DATEDIF(Table2[[#This Row],[Join Date]],Table2[[#This Row],[End Date]],"Y"),DATEDIF(Table2[[#This Row],[Join Date]],TODAY(),"Y"))</f>
        <v>5</v>
      </c>
      <c r="O6" s="2">
        <f ca="1">COUNTIF(Table2[[#This Row],[Join Date]],"&gt;=" &amp; EDATE(TODAY(),-12))</f>
        <v>0</v>
      </c>
    </row>
    <row r="7" spans="1:15" x14ac:dyDescent="0.25">
      <c r="A7" s="2" t="s">
        <v>39</v>
      </c>
      <c r="B7" s="2" t="s">
        <v>40</v>
      </c>
      <c r="C7" s="2" t="s">
        <v>37</v>
      </c>
      <c r="D7" s="2" t="s">
        <v>41</v>
      </c>
      <c r="E7" s="3">
        <v>56814</v>
      </c>
      <c r="F7" s="2" t="s">
        <v>42</v>
      </c>
      <c r="G7" s="2">
        <f ca="1">NETWORKDAYS(Table2[[#This Row],[Join Date]],TODAY())</f>
        <v>2458</v>
      </c>
      <c r="H7" s="2">
        <v>254</v>
      </c>
      <c r="I7" s="2">
        <v>4.4000000000000004</v>
      </c>
      <c r="J7" s="2">
        <f ca="1">IF(Table2[[#This Row],[Working Days]]&lt;=260,Table2[[#This Row],[Working Days]]-Table2[[#This Row],[Days Present (last 12 months)]],260-Table2[[#This Row],[Days Present (last 12 months)]])</f>
        <v>6</v>
      </c>
      <c r="K7" s="20">
        <f ca="1">Table2[[#This Row],[Days Present (last 12 months)]]/(Table2[[#This Row],[Days Present (last 12 months)]]+Table2[[#This Row],[Absent Days]])</f>
        <v>0.97692307692307689</v>
      </c>
      <c r="L7" s="2" t="s">
        <v>198</v>
      </c>
      <c r="M7" s="2"/>
      <c r="N7" s="2">
        <f ca="1">IF(Table2[[#This Row],[Status]]="Leaver",DATEDIF(Table2[[#This Row],[Join Date]],Table2[[#This Row],[End Date]],"Y"),DATEDIF(Table2[[#This Row],[Join Date]],TODAY(),"Y"))</f>
        <v>9</v>
      </c>
      <c r="O7" s="2">
        <f ca="1">COUNTIF(Table2[[#This Row],[Join Date]],"&gt;=" &amp; EDATE(TODAY(),-12))</f>
        <v>0</v>
      </c>
    </row>
    <row r="8" spans="1:15" x14ac:dyDescent="0.25">
      <c r="A8" s="2" t="s">
        <v>43</v>
      </c>
      <c r="B8" s="2" t="s">
        <v>44</v>
      </c>
      <c r="C8" s="2" t="s">
        <v>45</v>
      </c>
      <c r="D8" s="2" t="s">
        <v>33</v>
      </c>
      <c r="E8" s="3">
        <v>36372</v>
      </c>
      <c r="F8" s="2" t="s">
        <v>46</v>
      </c>
      <c r="G8" s="2">
        <f ca="1">NETWORKDAYS(Table2[[#This Row],[Join Date]],TODAY())</f>
        <v>1187</v>
      </c>
      <c r="H8" s="2">
        <v>227</v>
      </c>
      <c r="I8" s="2">
        <v>4.5999999999999996</v>
      </c>
      <c r="J8" s="2">
        <f ca="1">IF(Table2[[#This Row],[Working Days]]&lt;=260,Table2[[#This Row],[Working Days]]-Table2[[#This Row],[Days Present (last 12 months)]],260-Table2[[#This Row],[Days Present (last 12 months)]])</f>
        <v>33</v>
      </c>
      <c r="K8" s="20">
        <f ca="1">Table2[[#This Row],[Days Present (last 12 months)]]/(Table2[[#This Row],[Days Present (last 12 months)]]+Table2[[#This Row],[Absent Days]])</f>
        <v>0.87307692307692308</v>
      </c>
      <c r="L8" s="2" t="s">
        <v>198</v>
      </c>
      <c r="M8" s="2"/>
      <c r="N8" s="2">
        <f ca="1">IF(Table2[[#This Row],[Status]]="Leaver",DATEDIF(Table2[[#This Row],[Join Date]],Table2[[#This Row],[End Date]],"Y"),DATEDIF(Table2[[#This Row],[Join Date]],TODAY(),"Y"))</f>
        <v>4</v>
      </c>
      <c r="O8" s="2">
        <f ca="1">COUNTIF(Table2[[#This Row],[Join Date]],"&gt;=" &amp; EDATE(TODAY(),-12))</f>
        <v>0</v>
      </c>
    </row>
    <row r="9" spans="1:15" x14ac:dyDescent="0.25">
      <c r="A9" s="2" t="s">
        <v>47</v>
      </c>
      <c r="B9" s="2" t="s">
        <v>48</v>
      </c>
      <c r="C9" s="2" t="s">
        <v>19</v>
      </c>
      <c r="D9" s="2" t="s">
        <v>49</v>
      </c>
      <c r="E9" s="3">
        <v>49048</v>
      </c>
      <c r="F9" s="2" t="s">
        <v>50</v>
      </c>
      <c r="G9" s="2">
        <f ca="1">NETWORKDAYS(Table2[[#This Row],[Join Date]],TODAY())</f>
        <v>1187</v>
      </c>
      <c r="H9" s="2">
        <v>203</v>
      </c>
      <c r="I9" s="2">
        <v>4.5999999999999996</v>
      </c>
      <c r="J9" s="2">
        <f ca="1">IF(Table2[[#This Row],[Working Days]]&lt;=260,Table2[[#This Row],[Working Days]]-Table2[[#This Row],[Days Present (last 12 months)]],260-Table2[[#This Row],[Days Present (last 12 months)]])</f>
        <v>57</v>
      </c>
      <c r="K9" s="20">
        <f ca="1">Table2[[#This Row],[Days Present (last 12 months)]]/(Table2[[#This Row],[Days Present (last 12 months)]]+Table2[[#This Row],[Absent Days]])</f>
        <v>0.78076923076923077</v>
      </c>
      <c r="L9" s="2" t="s">
        <v>198</v>
      </c>
      <c r="M9" s="2"/>
      <c r="N9" s="2">
        <f ca="1">IF(Table2[[#This Row],[Status]]="Leaver",DATEDIF(Table2[[#This Row],[Join Date]],Table2[[#This Row],[End Date]],"Y"),DATEDIF(Table2[[#This Row],[Join Date]],TODAY(),"Y"))</f>
        <v>4</v>
      </c>
      <c r="O9" s="2">
        <f ca="1">COUNTIF(Table2[[#This Row],[Join Date]],"&gt;=" &amp; EDATE(TODAY(),-12))</f>
        <v>0</v>
      </c>
    </row>
    <row r="10" spans="1:15" x14ac:dyDescent="0.25">
      <c r="A10" s="2" t="s">
        <v>51</v>
      </c>
      <c r="B10" s="2" t="s">
        <v>52</v>
      </c>
      <c r="C10" s="2" t="s">
        <v>45</v>
      </c>
      <c r="D10" s="2" t="s">
        <v>20</v>
      </c>
      <c r="E10" s="3">
        <v>55930</v>
      </c>
      <c r="F10" s="2" t="s">
        <v>53</v>
      </c>
      <c r="G10" s="2">
        <f ca="1">NETWORKDAYS(Table2[[#This Row],[Join Date]],TODAY())</f>
        <v>2247</v>
      </c>
      <c r="H10" s="2">
        <v>246</v>
      </c>
      <c r="I10" s="2">
        <v>4.7</v>
      </c>
      <c r="J10" s="2">
        <f ca="1">IF(Table2[[#This Row],[Working Days]]&lt;=260,Table2[[#This Row],[Working Days]]-Table2[[#This Row],[Days Present (last 12 months)]],260-Table2[[#This Row],[Days Present (last 12 months)]])</f>
        <v>14</v>
      </c>
      <c r="K10" s="20">
        <f ca="1">Table2[[#This Row],[Days Present (last 12 months)]]/(Table2[[#This Row],[Days Present (last 12 months)]]+Table2[[#This Row],[Absent Days]])</f>
        <v>0.94615384615384612</v>
      </c>
      <c r="L10" s="2" t="s">
        <v>198</v>
      </c>
      <c r="M10" s="2"/>
      <c r="N10" s="2">
        <f ca="1">IF(Table2[[#This Row],[Status]]="Leaver",DATEDIF(Table2[[#This Row],[Join Date]],Table2[[#This Row],[End Date]],"Y"),DATEDIF(Table2[[#This Row],[Join Date]],TODAY(),"Y"))</f>
        <v>8</v>
      </c>
      <c r="O10" s="2">
        <f ca="1">COUNTIF(Table2[[#This Row],[Join Date]],"&gt;=" &amp; EDATE(TODAY(),-12))</f>
        <v>0</v>
      </c>
    </row>
    <row r="11" spans="1:15" x14ac:dyDescent="0.25">
      <c r="A11" s="2" t="s">
        <v>54</v>
      </c>
      <c r="B11" s="2" t="s">
        <v>55</v>
      </c>
      <c r="C11" s="2" t="s">
        <v>28</v>
      </c>
      <c r="D11" s="2" t="s">
        <v>29</v>
      </c>
      <c r="E11" s="3">
        <v>45679</v>
      </c>
      <c r="F11" s="2" t="s">
        <v>56</v>
      </c>
      <c r="G11" s="2">
        <f ca="1">NETWORKDAYS(Table2[[#This Row],[Join Date]],TODAY())</f>
        <v>1104</v>
      </c>
      <c r="H11" s="2">
        <v>225</v>
      </c>
      <c r="I11" s="2">
        <v>3</v>
      </c>
      <c r="J11" s="2">
        <f ca="1">IF(Table2[[#This Row],[Working Days]]&lt;=260,Table2[[#This Row],[Working Days]]-Table2[[#This Row],[Days Present (last 12 months)]],260-Table2[[#This Row],[Days Present (last 12 months)]])</f>
        <v>35</v>
      </c>
      <c r="K11" s="20">
        <f ca="1">Table2[[#This Row],[Days Present (last 12 months)]]/(Table2[[#This Row],[Days Present (last 12 months)]]+Table2[[#This Row],[Absent Days]])</f>
        <v>0.86538461538461542</v>
      </c>
      <c r="L11" s="2" t="s">
        <v>198</v>
      </c>
      <c r="M11" s="2"/>
      <c r="N11" s="2">
        <f ca="1">IF(Table2[[#This Row],[Status]]="Leaver",DATEDIF(Table2[[#This Row],[Join Date]],Table2[[#This Row],[End Date]],"Y"),DATEDIF(Table2[[#This Row],[Join Date]],TODAY(),"Y"))</f>
        <v>4</v>
      </c>
      <c r="O11" s="2">
        <f ca="1">COUNTIF(Table2[[#This Row],[Join Date]],"&gt;=" &amp; EDATE(TODAY(),-12))</f>
        <v>0</v>
      </c>
    </row>
    <row r="12" spans="1:15" x14ac:dyDescent="0.25">
      <c r="A12" s="2" t="s">
        <v>57</v>
      </c>
      <c r="B12" s="2" t="s">
        <v>58</v>
      </c>
      <c r="C12" s="2" t="s">
        <v>24</v>
      </c>
      <c r="D12" s="2" t="s">
        <v>49</v>
      </c>
      <c r="E12" s="3">
        <v>58422</v>
      </c>
      <c r="F12" s="2" t="s">
        <v>59</v>
      </c>
      <c r="G12" s="2">
        <f ca="1">NETWORKDAYS(Table2[[#This Row],[Join Date]],TODAY())</f>
        <v>2837</v>
      </c>
      <c r="H12" s="2">
        <v>235</v>
      </c>
      <c r="I12" s="2">
        <v>4.8</v>
      </c>
      <c r="J12" s="2">
        <f ca="1">IF(Table2[[#This Row],[Working Days]]&lt;=260,Table2[[#This Row],[Working Days]]-Table2[[#This Row],[Days Present (last 12 months)]],260-Table2[[#This Row],[Days Present (last 12 months)]])</f>
        <v>25</v>
      </c>
      <c r="K12" s="20">
        <f ca="1">Table2[[#This Row],[Days Present (last 12 months)]]/(Table2[[#This Row],[Days Present (last 12 months)]]+Table2[[#This Row],[Absent Days]])</f>
        <v>0.90384615384615385</v>
      </c>
      <c r="L12" s="2" t="s">
        <v>198</v>
      </c>
      <c r="M12" s="2"/>
      <c r="N12" s="2">
        <f ca="1">IF(Table2[[#This Row],[Status]]="Leaver",DATEDIF(Table2[[#This Row],[Join Date]],Table2[[#This Row],[End Date]],"Y"),DATEDIF(Table2[[#This Row],[Join Date]],TODAY(),"Y"))</f>
        <v>10</v>
      </c>
      <c r="O12" s="2">
        <f ca="1">COUNTIF(Table2[[#This Row],[Join Date]],"&gt;=" &amp; EDATE(TODAY(),-12))</f>
        <v>0</v>
      </c>
    </row>
    <row r="13" spans="1:15" x14ac:dyDescent="0.25">
      <c r="A13" s="2" t="s">
        <v>60</v>
      </c>
      <c r="B13" s="2" t="s">
        <v>61</v>
      </c>
      <c r="C13" s="2" t="s">
        <v>62</v>
      </c>
      <c r="D13" s="2" t="s">
        <v>20</v>
      </c>
      <c r="E13" s="3">
        <v>62719</v>
      </c>
      <c r="F13" s="2" t="s">
        <v>63</v>
      </c>
      <c r="G13" s="2">
        <f ca="1">NETWORKDAYS(Table2[[#This Row],[Join Date]],TODAY())</f>
        <v>2081</v>
      </c>
      <c r="H13" s="2">
        <v>245</v>
      </c>
      <c r="I13" s="2">
        <v>3.4</v>
      </c>
      <c r="J13" s="2">
        <f ca="1">IF(Table2[[#This Row],[Working Days]]&lt;=260,Table2[[#This Row],[Working Days]]-Table2[[#This Row],[Days Present (last 12 months)]],260-Table2[[#This Row],[Days Present (last 12 months)]])</f>
        <v>15</v>
      </c>
      <c r="K13" s="20">
        <f ca="1">Table2[[#This Row],[Days Present (last 12 months)]]/(Table2[[#This Row],[Days Present (last 12 months)]]+Table2[[#This Row],[Absent Days]])</f>
        <v>0.94230769230769229</v>
      </c>
      <c r="L13" s="2" t="s">
        <v>198</v>
      </c>
      <c r="M13" s="2"/>
      <c r="N13" s="2">
        <f ca="1">IF(Table2[[#This Row],[Status]]="Leaver",DATEDIF(Table2[[#This Row],[Join Date]],Table2[[#This Row],[End Date]],"Y"),DATEDIF(Table2[[#This Row],[Join Date]],TODAY(),"Y"))</f>
        <v>7</v>
      </c>
      <c r="O13" s="2">
        <f ca="1">COUNTIF(Table2[[#This Row],[Join Date]],"&gt;=" &amp; EDATE(TODAY(),-12))</f>
        <v>0</v>
      </c>
    </row>
    <row r="14" spans="1:15" x14ac:dyDescent="0.25">
      <c r="A14" s="2" t="s">
        <v>64</v>
      </c>
      <c r="B14" s="2" t="s">
        <v>65</v>
      </c>
      <c r="C14" s="2" t="s">
        <v>37</v>
      </c>
      <c r="D14" s="2" t="s">
        <v>49</v>
      </c>
      <c r="E14" s="3">
        <v>37417</v>
      </c>
      <c r="F14" s="2" t="s">
        <v>66</v>
      </c>
      <c r="G14" s="2">
        <f ca="1">NETWORKDAYS(Table2[[#This Row],[Join Date]],TODAY())</f>
        <v>1710</v>
      </c>
      <c r="H14" s="2">
        <v>214</v>
      </c>
      <c r="I14" s="2">
        <v>2.7</v>
      </c>
      <c r="J14" s="2">
        <f ca="1">IF(Table2[[#This Row],[Working Days]]&lt;=260,Table2[[#This Row],[Working Days]]-Table2[[#This Row],[Days Present (last 12 months)]],260-Table2[[#This Row],[Days Present (last 12 months)]])</f>
        <v>46</v>
      </c>
      <c r="K14" s="20">
        <f ca="1">Table2[[#This Row],[Days Present (last 12 months)]]/(Table2[[#This Row],[Days Present (last 12 months)]]+Table2[[#This Row],[Absent Days]])</f>
        <v>0.82307692307692304</v>
      </c>
      <c r="L14" s="2" t="s">
        <v>197</v>
      </c>
      <c r="M14" s="35">
        <v>43990</v>
      </c>
      <c r="N14" s="2">
        <f ca="1">IF(Table2[[#This Row],[Status]]="Leaver",DATEDIF(Table2[[#This Row],[Join Date]],Table2[[#This Row],[End Date]],"Y"),DATEDIF(Table2[[#This Row],[Join Date]],TODAY(),"Y"))</f>
        <v>1</v>
      </c>
      <c r="O14" s="2">
        <f ca="1">COUNTIF(Table2[[#This Row],[Join Date]],"&gt;=" &amp; EDATE(TODAY(),-12))</f>
        <v>0</v>
      </c>
    </row>
    <row r="15" spans="1:15" x14ac:dyDescent="0.25">
      <c r="A15" s="2" t="s">
        <v>67</v>
      </c>
      <c r="B15" s="2" t="s">
        <v>68</v>
      </c>
      <c r="C15" s="2" t="s">
        <v>62</v>
      </c>
      <c r="D15" s="2" t="s">
        <v>29</v>
      </c>
      <c r="E15" s="3">
        <v>25970</v>
      </c>
      <c r="F15" s="2" t="s">
        <v>69</v>
      </c>
      <c r="G15" s="2">
        <f ca="1">NETWORKDAYS(Table2[[#This Row],[Join Date]],TODAY())</f>
        <v>2246</v>
      </c>
      <c r="H15" s="2">
        <v>218</v>
      </c>
      <c r="I15" s="2">
        <v>4.7</v>
      </c>
      <c r="J15" s="2">
        <f ca="1">IF(Table2[[#This Row],[Working Days]]&lt;=260,Table2[[#This Row],[Working Days]]-Table2[[#This Row],[Days Present (last 12 months)]],260-Table2[[#This Row],[Days Present (last 12 months)]])</f>
        <v>42</v>
      </c>
      <c r="K15" s="20">
        <f ca="1">Table2[[#This Row],[Days Present (last 12 months)]]/(Table2[[#This Row],[Days Present (last 12 months)]]+Table2[[#This Row],[Absent Days]])</f>
        <v>0.83846153846153848</v>
      </c>
      <c r="L15" s="2" t="s">
        <v>198</v>
      </c>
      <c r="M15" s="2"/>
      <c r="N15" s="2">
        <f ca="1">IF(Table2[[#This Row],[Status]]="Leaver",DATEDIF(Table2[[#This Row],[Join Date]],Table2[[#This Row],[End Date]],"Y"),DATEDIF(Table2[[#This Row],[Join Date]],TODAY(),"Y"))</f>
        <v>8</v>
      </c>
      <c r="O15" s="2">
        <f ca="1">COUNTIF(Table2[[#This Row],[Join Date]],"&gt;=" &amp; EDATE(TODAY(),-12))</f>
        <v>0</v>
      </c>
    </row>
    <row r="16" spans="1:15" x14ac:dyDescent="0.25">
      <c r="A16" s="2" t="s">
        <v>70</v>
      </c>
      <c r="B16" s="2" t="s">
        <v>71</v>
      </c>
      <c r="C16" s="2" t="s">
        <v>19</v>
      </c>
      <c r="D16" s="2" t="s">
        <v>49</v>
      </c>
      <c r="E16" s="3">
        <v>54375</v>
      </c>
      <c r="F16" s="2" t="s">
        <v>72</v>
      </c>
      <c r="G16" s="2">
        <f ca="1">NETWORKDAYS(Table2[[#This Row],[Join Date]],TODAY())</f>
        <v>2747</v>
      </c>
      <c r="H16" s="2">
        <v>254</v>
      </c>
      <c r="I16" s="2">
        <v>3.1</v>
      </c>
      <c r="J16" s="2">
        <f ca="1">IF(Table2[[#This Row],[Working Days]]&lt;=260,Table2[[#This Row],[Working Days]]-Table2[[#This Row],[Days Present (last 12 months)]],260-Table2[[#This Row],[Days Present (last 12 months)]])</f>
        <v>6</v>
      </c>
      <c r="K16" s="20">
        <f ca="1">Table2[[#This Row],[Days Present (last 12 months)]]/(Table2[[#This Row],[Days Present (last 12 months)]]+Table2[[#This Row],[Absent Days]])</f>
        <v>0.97692307692307689</v>
      </c>
      <c r="L16" s="2" t="s">
        <v>198</v>
      </c>
      <c r="M16" s="2"/>
      <c r="N16" s="2">
        <f ca="1">IF(Table2[[#This Row],[Status]]="Leaver",DATEDIF(Table2[[#This Row],[Join Date]],Table2[[#This Row],[End Date]],"Y"),DATEDIF(Table2[[#This Row],[Join Date]],TODAY(),"Y"))</f>
        <v>10</v>
      </c>
      <c r="O16" s="2">
        <f ca="1">COUNTIF(Table2[[#This Row],[Join Date]],"&gt;=" &amp; EDATE(TODAY(),-12))</f>
        <v>0</v>
      </c>
    </row>
    <row r="17" spans="1:15" x14ac:dyDescent="0.25">
      <c r="A17" s="2" t="s">
        <v>73</v>
      </c>
      <c r="B17" s="2" t="s">
        <v>74</v>
      </c>
      <c r="C17" s="2" t="s">
        <v>37</v>
      </c>
      <c r="D17" s="2" t="s">
        <v>20</v>
      </c>
      <c r="E17" s="3">
        <v>34870</v>
      </c>
      <c r="F17" s="2" t="s">
        <v>75</v>
      </c>
      <c r="G17" s="2">
        <f ca="1">NETWORKDAYS(Table2[[#This Row],[Join Date]],TODAY())</f>
        <v>2237</v>
      </c>
      <c r="H17" s="2">
        <v>241</v>
      </c>
      <c r="I17" s="2">
        <v>2.8</v>
      </c>
      <c r="J17" s="2">
        <f ca="1">IF(Table2[[#This Row],[Working Days]]&lt;=260,Table2[[#This Row],[Working Days]]-Table2[[#This Row],[Days Present (last 12 months)]],260-Table2[[#This Row],[Days Present (last 12 months)]])</f>
        <v>19</v>
      </c>
      <c r="K17" s="20">
        <f ca="1">Table2[[#This Row],[Days Present (last 12 months)]]/(Table2[[#This Row],[Days Present (last 12 months)]]+Table2[[#This Row],[Absent Days]])</f>
        <v>0.92692307692307696</v>
      </c>
      <c r="L17" s="2" t="s">
        <v>198</v>
      </c>
      <c r="M17" s="2"/>
      <c r="N17" s="2">
        <f ca="1">IF(Table2[[#This Row],[Status]]="Leaver",DATEDIF(Table2[[#This Row],[Join Date]],Table2[[#This Row],[End Date]],"Y"),DATEDIF(Table2[[#This Row],[Join Date]],TODAY(),"Y"))</f>
        <v>8</v>
      </c>
      <c r="O17" s="2">
        <f ca="1">COUNTIF(Table2[[#This Row],[Join Date]],"&gt;=" &amp; EDATE(TODAY(),-12))</f>
        <v>0</v>
      </c>
    </row>
    <row r="18" spans="1:15" x14ac:dyDescent="0.25">
      <c r="A18" s="2" t="s">
        <v>76</v>
      </c>
      <c r="B18" s="2" t="s">
        <v>65</v>
      </c>
      <c r="C18" s="2" t="s">
        <v>24</v>
      </c>
      <c r="D18" s="2" t="s">
        <v>41</v>
      </c>
      <c r="E18" s="3">
        <v>53282</v>
      </c>
      <c r="F18" s="2" t="s">
        <v>77</v>
      </c>
      <c r="G18" s="2">
        <f ca="1">NETWORKDAYS(Table2[[#This Row],[Join Date]],TODAY())</f>
        <v>1628</v>
      </c>
      <c r="H18" s="2">
        <v>232</v>
      </c>
      <c r="I18" s="2">
        <v>4.4000000000000004</v>
      </c>
      <c r="J18" s="2">
        <f ca="1">IF(Table2[[#This Row],[Working Days]]&lt;=260,Table2[[#This Row],[Working Days]]-Table2[[#This Row],[Days Present (last 12 months)]],260-Table2[[#This Row],[Days Present (last 12 months)]])</f>
        <v>28</v>
      </c>
      <c r="K18" s="20">
        <f ca="1">Table2[[#This Row],[Days Present (last 12 months)]]/(Table2[[#This Row],[Days Present (last 12 months)]]+Table2[[#This Row],[Absent Days]])</f>
        <v>0.89230769230769236</v>
      </c>
      <c r="L18" s="2" t="s">
        <v>198</v>
      </c>
      <c r="M18" s="2"/>
      <c r="N18" s="2">
        <f ca="1">IF(Table2[[#This Row],[Status]]="Leaver",DATEDIF(Table2[[#This Row],[Join Date]],Table2[[#This Row],[End Date]],"Y"),DATEDIF(Table2[[#This Row],[Join Date]],TODAY(),"Y"))</f>
        <v>6</v>
      </c>
      <c r="O18" s="2">
        <f ca="1">COUNTIF(Table2[[#This Row],[Join Date]],"&gt;=" &amp; EDATE(TODAY(),-12))</f>
        <v>0</v>
      </c>
    </row>
    <row r="19" spans="1:15" x14ac:dyDescent="0.25">
      <c r="A19" s="2" t="s">
        <v>78</v>
      </c>
      <c r="B19" s="2" t="s">
        <v>79</v>
      </c>
      <c r="C19" s="2" t="s">
        <v>28</v>
      </c>
      <c r="D19" s="2" t="s">
        <v>33</v>
      </c>
      <c r="E19" s="3">
        <v>25339</v>
      </c>
      <c r="F19" s="2" t="s">
        <v>80</v>
      </c>
      <c r="G19" s="2">
        <f ca="1">NETWORKDAYS(Table2[[#This Row],[Join Date]],TODAY())</f>
        <v>939</v>
      </c>
      <c r="H19" s="2">
        <v>220</v>
      </c>
      <c r="I19" s="2">
        <v>4.3</v>
      </c>
      <c r="J19" s="2">
        <f ca="1">IF(Table2[[#This Row],[Working Days]]&lt;=260,Table2[[#This Row],[Working Days]]-Table2[[#This Row],[Days Present (last 12 months)]],260-Table2[[#This Row],[Days Present (last 12 months)]])</f>
        <v>40</v>
      </c>
      <c r="K19" s="20">
        <f ca="1">Table2[[#This Row],[Days Present (last 12 months)]]/(Table2[[#This Row],[Days Present (last 12 months)]]+Table2[[#This Row],[Absent Days]])</f>
        <v>0.84615384615384615</v>
      </c>
      <c r="L19" s="2" t="s">
        <v>198</v>
      </c>
      <c r="M19" s="2"/>
      <c r="N19" s="2">
        <f ca="1">IF(Table2[[#This Row],[Status]]="Leaver",DATEDIF(Table2[[#This Row],[Join Date]],Table2[[#This Row],[End Date]],"Y"),DATEDIF(Table2[[#This Row],[Join Date]],TODAY(),"Y"))</f>
        <v>3</v>
      </c>
      <c r="O19" s="2">
        <f ca="1">COUNTIF(Table2[[#This Row],[Join Date]],"&gt;=" &amp; EDATE(TODAY(),-12))</f>
        <v>0</v>
      </c>
    </row>
    <row r="20" spans="1:15" x14ac:dyDescent="0.25">
      <c r="A20" s="2" t="s">
        <v>81</v>
      </c>
      <c r="B20" s="2" t="s">
        <v>82</v>
      </c>
      <c r="C20" s="2" t="s">
        <v>28</v>
      </c>
      <c r="D20" s="2" t="s">
        <v>29</v>
      </c>
      <c r="E20" s="3">
        <v>39638</v>
      </c>
      <c r="F20" s="2" t="s">
        <v>83</v>
      </c>
      <c r="G20" s="2">
        <f ca="1">NETWORKDAYS(Table2[[#This Row],[Join Date]],TODAY())</f>
        <v>1140</v>
      </c>
      <c r="H20" s="2">
        <v>203</v>
      </c>
      <c r="I20" s="2">
        <v>2.9</v>
      </c>
      <c r="J20" s="2">
        <f ca="1">IF(Table2[[#This Row],[Working Days]]&lt;=260,Table2[[#This Row],[Working Days]]-Table2[[#This Row],[Days Present (last 12 months)]],260-Table2[[#This Row],[Days Present (last 12 months)]])</f>
        <v>57</v>
      </c>
      <c r="K20" s="20">
        <f ca="1">Table2[[#This Row],[Days Present (last 12 months)]]/(Table2[[#This Row],[Days Present (last 12 months)]]+Table2[[#This Row],[Absent Days]])</f>
        <v>0.78076923076923077</v>
      </c>
      <c r="L20" s="2" t="s">
        <v>197</v>
      </c>
      <c r="M20" s="35">
        <v>44810</v>
      </c>
      <c r="N20" s="2">
        <f ca="1">IF(Table2[[#This Row],[Status]]="Leaver",DATEDIF(Table2[[#This Row],[Join Date]],Table2[[#This Row],[End Date]],"Y"),DATEDIF(Table2[[#This Row],[Join Date]],TODAY(),"Y"))</f>
        <v>1</v>
      </c>
      <c r="O20" s="2">
        <f ca="1">COUNTIF(Table2[[#This Row],[Join Date]],"&gt;=" &amp; EDATE(TODAY(),-12))</f>
        <v>0</v>
      </c>
    </row>
    <row r="21" spans="1:15" x14ac:dyDescent="0.25">
      <c r="A21" s="2" t="s">
        <v>84</v>
      </c>
      <c r="B21" s="2" t="s">
        <v>85</v>
      </c>
      <c r="C21" s="2" t="s">
        <v>86</v>
      </c>
      <c r="D21" s="2" t="s">
        <v>29</v>
      </c>
      <c r="E21" s="3">
        <v>26640</v>
      </c>
      <c r="F21" s="2" t="s">
        <v>87</v>
      </c>
      <c r="G21" s="2">
        <f ca="1">NETWORKDAYS(Table2[[#This Row],[Join Date]],TODAY())</f>
        <v>2073</v>
      </c>
      <c r="H21" s="2">
        <v>212</v>
      </c>
      <c r="I21" s="2">
        <v>5</v>
      </c>
      <c r="J21" s="2">
        <f ca="1">IF(Table2[[#This Row],[Working Days]]&lt;=260,Table2[[#This Row],[Working Days]]-Table2[[#This Row],[Days Present (last 12 months)]],260-Table2[[#This Row],[Days Present (last 12 months)]])</f>
        <v>48</v>
      </c>
      <c r="K21" s="20">
        <f ca="1">Table2[[#This Row],[Days Present (last 12 months)]]/(Table2[[#This Row],[Days Present (last 12 months)]]+Table2[[#This Row],[Absent Days]])</f>
        <v>0.81538461538461537</v>
      </c>
      <c r="L21" s="2" t="s">
        <v>198</v>
      </c>
      <c r="M21" s="2"/>
      <c r="N21" s="2">
        <f ca="1">IF(Table2[[#This Row],[Status]]="Leaver",DATEDIF(Table2[[#This Row],[Join Date]],Table2[[#This Row],[End Date]],"Y"),DATEDIF(Table2[[#This Row],[Join Date]],TODAY(),"Y"))</f>
        <v>7</v>
      </c>
      <c r="O21" s="2">
        <f ca="1">COUNTIF(Table2[[#This Row],[Join Date]],"&gt;=" &amp; EDATE(TODAY(),-12))</f>
        <v>0</v>
      </c>
    </row>
    <row r="22" spans="1:15" x14ac:dyDescent="0.25">
      <c r="A22" s="2" t="s">
        <v>88</v>
      </c>
      <c r="B22" s="2" t="s">
        <v>65</v>
      </c>
      <c r="C22" s="2" t="s">
        <v>28</v>
      </c>
      <c r="D22" s="2" t="s">
        <v>29</v>
      </c>
      <c r="E22" s="3">
        <v>26396</v>
      </c>
      <c r="F22" s="2" t="s">
        <v>89</v>
      </c>
      <c r="G22" s="2">
        <f ca="1">NETWORKDAYS(Table2[[#This Row],[Join Date]],TODAY())</f>
        <v>2177</v>
      </c>
      <c r="H22" s="2">
        <v>234</v>
      </c>
      <c r="I22" s="2">
        <v>4.5</v>
      </c>
      <c r="J22" s="2">
        <f ca="1">IF(Table2[[#This Row],[Working Days]]&lt;=260,Table2[[#This Row],[Working Days]]-Table2[[#This Row],[Days Present (last 12 months)]],260-Table2[[#This Row],[Days Present (last 12 months)]])</f>
        <v>26</v>
      </c>
      <c r="K22" s="20">
        <f ca="1">Table2[[#This Row],[Days Present (last 12 months)]]/(Table2[[#This Row],[Days Present (last 12 months)]]+Table2[[#This Row],[Absent Days]])</f>
        <v>0.9</v>
      </c>
      <c r="L22" s="2" t="s">
        <v>198</v>
      </c>
      <c r="M22" s="2"/>
      <c r="N22" s="2">
        <f ca="1">IF(Table2[[#This Row],[Status]]="Leaver",DATEDIF(Table2[[#This Row],[Join Date]],Table2[[#This Row],[End Date]],"Y"),DATEDIF(Table2[[#This Row],[Join Date]],TODAY(),"Y"))</f>
        <v>8</v>
      </c>
      <c r="O22" s="2">
        <f ca="1">COUNTIF(Table2[[#This Row],[Join Date]],"&gt;=" &amp; EDATE(TODAY(),-12))</f>
        <v>0</v>
      </c>
    </row>
    <row r="23" spans="1:15" x14ac:dyDescent="0.25">
      <c r="A23" s="2" t="s">
        <v>90</v>
      </c>
      <c r="B23" s="2" t="s">
        <v>91</v>
      </c>
      <c r="C23" s="2" t="s">
        <v>19</v>
      </c>
      <c r="D23" s="2" t="s">
        <v>20</v>
      </c>
      <c r="E23" s="3">
        <v>57417</v>
      </c>
      <c r="F23" s="2" t="s">
        <v>92</v>
      </c>
      <c r="G23" s="2">
        <f ca="1">NETWORKDAYS(Table2[[#This Row],[Join Date]],TODAY())</f>
        <v>1062</v>
      </c>
      <c r="H23" s="2">
        <v>260</v>
      </c>
      <c r="I23" s="2">
        <v>3.2</v>
      </c>
      <c r="J23" s="2">
        <f ca="1">IF(Table2[[#This Row],[Working Days]]&lt;=260,Table2[[#This Row],[Working Days]]-Table2[[#This Row],[Days Present (last 12 months)]],260-Table2[[#This Row],[Days Present (last 12 months)]])</f>
        <v>0</v>
      </c>
      <c r="K23" s="20">
        <f ca="1">Table2[[#This Row],[Days Present (last 12 months)]]/(Table2[[#This Row],[Days Present (last 12 months)]]+Table2[[#This Row],[Absent Days]])</f>
        <v>1</v>
      </c>
      <c r="L23" s="2" t="s">
        <v>198</v>
      </c>
      <c r="M23" s="2"/>
      <c r="N23" s="2">
        <f ca="1">IF(Table2[[#This Row],[Status]]="Leaver",DATEDIF(Table2[[#This Row],[Join Date]],Table2[[#This Row],[End Date]],"Y"),DATEDIF(Table2[[#This Row],[Join Date]],TODAY(),"Y"))</f>
        <v>4</v>
      </c>
      <c r="O23" s="2">
        <f ca="1">COUNTIF(Table2[[#This Row],[Join Date]],"&gt;=" &amp; EDATE(TODAY(),-12))</f>
        <v>0</v>
      </c>
    </row>
    <row r="24" spans="1:15" x14ac:dyDescent="0.25">
      <c r="A24" s="2" t="s">
        <v>93</v>
      </c>
      <c r="B24" s="2" t="s">
        <v>94</v>
      </c>
      <c r="C24" s="2" t="s">
        <v>19</v>
      </c>
      <c r="D24" s="2" t="s">
        <v>41</v>
      </c>
      <c r="E24" s="3">
        <v>54815</v>
      </c>
      <c r="F24" s="2" t="s">
        <v>95</v>
      </c>
      <c r="G24" s="2">
        <f ca="1">NETWORKDAYS(Table2[[#This Row],[Join Date]],TODAY())</f>
        <v>2377</v>
      </c>
      <c r="H24" s="2">
        <v>212</v>
      </c>
      <c r="I24" s="2">
        <v>3</v>
      </c>
      <c r="J24" s="2">
        <f ca="1">IF(Table2[[#This Row],[Working Days]]&lt;=260,Table2[[#This Row],[Working Days]]-Table2[[#This Row],[Days Present (last 12 months)]],260-Table2[[#This Row],[Days Present (last 12 months)]])</f>
        <v>48</v>
      </c>
      <c r="K24" s="20">
        <f ca="1">Table2[[#This Row],[Days Present (last 12 months)]]/(Table2[[#This Row],[Days Present (last 12 months)]]+Table2[[#This Row],[Absent Days]])</f>
        <v>0.81538461538461537</v>
      </c>
      <c r="L24" s="2" t="s">
        <v>198</v>
      </c>
      <c r="M24" s="2"/>
      <c r="N24" s="2">
        <f ca="1">IF(Table2[[#This Row],[Status]]="Leaver",DATEDIF(Table2[[#This Row],[Join Date]],Table2[[#This Row],[End Date]],"Y"),DATEDIF(Table2[[#This Row],[Join Date]],TODAY(),"Y"))</f>
        <v>9</v>
      </c>
      <c r="O24" s="2">
        <f ca="1">COUNTIF(Table2[[#This Row],[Join Date]],"&gt;=" &amp; EDATE(TODAY(),-12))</f>
        <v>0</v>
      </c>
    </row>
    <row r="25" spans="1:15" x14ac:dyDescent="0.25">
      <c r="A25" s="2" t="s">
        <v>96</v>
      </c>
      <c r="B25" s="2" t="s">
        <v>97</v>
      </c>
      <c r="C25" s="2" t="s">
        <v>62</v>
      </c>
      <c r="D25" s="2" t="s">
        <v>20</v>
      </c>
      <c r="E25" s="3">
        <v>24382</v>
      </c>
      <c r="F25" s="2" t="s">
        <v>98</v>
      </c>
      <c r="G25" s="2">
        <f ca="1">NETWORKDAYS(Table2[[#This Row],[Join Date]],TODAY())</f>
        <v>2797</v>
      </c>
      <c r="H25" s="2">
        <v>208</v>
      </c>
      <c r="I25" s="2">
        <v>3.3</v>
      </c>
      <c r="J25" s="2">
        <f ca="1">IF(Table2[[#This Row],[Working Days]]&lt;=260,Table2[[#This Row],[Working Days]]-Table2[[#This Row],[Days Present (last 12 months)]],260-Table2[[#This Row],[Days Present (last 12 months)]])</f>
        <v>52</v>
      </c>
      <c r="K25" s="20">
        <f ca="1">Table2[[#This Row],[Days Present (last 12 months)]]/(Table2[[#This Row],[Days Present (last 12 months)]]+Table2[[#This Row],[Absent Days]])</f>
        <v>0.8</v>
      </c>
      <c r="L25" s="2" t="s">
        <v>198</v>
      </c>
      <c r="M25" s="2"/>
      <c r="N25" s="2">
        <f ca="1">IF(Table2[[#This Row],[Status]]="Leaver",DATEDIF(Table2[[#This Row],[Join Date]],Table2[[#This Row],[End Date]],"Y"),DATEDIF(Table2[[#This Row],[Join Date]],TODAY(),"Y"))</f>
        <v>10</v>
      </c>
      <c r="O25" s="2">
        <f ca="1">COUNTIF(Table2[[#This Row],[Join Date]],"&gt;=" &amp; EDATE(TODAY(),-12))</f>
        <v>0</v>
      </c>
    </row>
    <row r="26" spans="1:15" x14ac:dyDescent="0.25">
      <c r="A26" s="2" t="s">
        <v>99</v>
      </c>
      <c r="B26" s="2" t="s">
        <v>100</v>
      </c>
      <c r="C26" s="2" t="s">
        <v>19</v>
      </c>
      <c r="D26" s="2" t="s">
        <v>20</v>
      </c>
      <c r="E26" s="3">
        <v>59990</v>
      </c>
      <c r="F26" s="2" t="s">
        <v>101</v>
      </c>
      <c r="G26" s="2">
        <f ca="1">NETWORKDAYS(Table2[[#This Row],[Join Date]],TODAY())</f>
        <v>2172</v>
      </c>
      <c r="H26" s="2">
        <v>201</v>
      </c>
      <c r="I26" s="2">
        <v>3</v>
      </c>
      <c r="J26" s="2">
        <f ca="1">IF(Table2[[#This Row],[Working Days]]&lt;=260,Table2[[#This Row],[Working Days]]-Table2[[#This Row],[Days Present (last 12 months)]],260-Table2[[#This Row],[Days Present (last 12 months)]])</f>
        <v>59</v>
      </c>
      <c r="K26" s="20">
        <f ca="1">Table2[[#This Row],[Days Present (last 12 months)]]/(Table2[[#This Row],[Days Present (last 12 months)]]+Table2[[#This Row],[Absent Days]])</f>
        <v>0.77307692307692311</v>
      </c>
      <c r="L26" s="2" t="s">
        <v>197</v>
      </c>
      <c r="M26" s="35">
        <v>43313</v>
      </c>
      <c r="N26" s="2">
        <f ca="1">IF(Table2[[#This Row],[Status]]="Leaver",DATEDIF(Table2[[#This Row],[Join Date]],Table2[[#This Row],[End Date]],"Y"),DATEDIF(Table2[[#This Row],[Join Date]],TODAY(),"Y"))</f>
        <v>1</v>
      </c>
      <c r="O26" s="2">
        <f ca="1">COUNTIF(Table2[[#This Row],[Join Date]],"&gt;=" &amp; EDATE(TODAY(),-12))</f>
        <v>0</v>
      </c>
    </row>
    <row r="27" spans="1:15" x14ac:dyDescent="0.25">
      <c r="A27" s="2" t="s">
        <v>102</v>
      </c>
      <c r="B27" s="2" t="s">
        <v>103</v>
      </c>
      <c r="C27" s="2" t="s">
        <v>86</v>
      </c>
      <c r="D27" s="2" t="s">
        <v>41</v>
      </c>
      <c r="E27" s="3">
        <v>26776</v>
      </c>
      <c r="F27" s="2" t="s">
        <v>104</v>
      </c>
      <c r="G27" s="2">
        <f ca="1">NETWORKDAYS(Table2[[#This Row],[Join Date]],TODAY())</f>
        <v>819</v>
      </c>
      <c r="H27" s="2">
        <v>207</v>
      </c>
      <c r="I27" s="2">
        <v>4.2</v>
      </c>
      <c r="J27" s="2">
        <f ca="1">IF(Table2[[#This Row],[Working Days]]&lt;=260,Table2[[#This Row],[Working Days]]-Table2[[#This Row],[Days Present (last 12 months)]],260-Table2[[#This Row],[Days Present (last 12 months)]])</f>
        <v>53</v>
      </c>
      <c r="K27" s="20">
        <f ca="1">Table2[[#This Row],[Days Present (last 12 months)]]/(Table2[[#This Row],[Days Present (last 12 months)]]+Table2[[#This Row],[Absent Days]])</f>
        <v>0.7961538461538461</v>
      </c>
      <c r="L27" s="2" t="s">
        <v>198</v>
      </c>
      <c r="M27" s="2"/>
      <c r="N27" s="2">
        <f ca="1">IF(Table2[[#This Row],[Status]]="Leaver",DATEDIF(Table2[[#This Row],[Join Date]],Table2[[#This Row],[End Date]],"Y"),DATEDIF(Table2[[#This Row],[Join Date]],TODAY(),"Y"))</f>
        <v>3</v>
      </c>
      <c r="O27" s="2">
        <f ca="1">COUNTIF(Table2[[#This Row],[Join Date]],"&gt;=" &amp; EDATE(TODAY(),-12))</f>
        <v>0</v>
      </c>
    </row>
    <row r="28" spans="1:15" x14ac:dyDescent="0.25">
      <c r="A28" s="2" t="s">
        <v>105</v>
      </c>
      <c r="B28" s="2" t="s">
        <v>106</v>
      </c>
      <c r="C28" s="2" t="s">
        <v>37</v>
      </c>
      <c r="D28" s="2" t="s">
        <v>33</v>
      </c>
      <c r="E28" s="3">
        <v>41939</v>
      </c>
      <c r="F28" s="2" t="s">
        <v>107</v>
      </c>
      <c r="G28" s="2">
        <f ca="1">NETWORKDAYS(Table2[[#This Row],[Join Date]],TODAY())</f>
        <v>1596</v>
      </c>
      <c r="H28" s="2">
        <v>209</v>
      </c>
      <c r="I28" s="2">
        <v>4.4000000000000004</v>
      </c>
      <c r="J28" s="2">
        <f ca="1">IF(Table2[[#This Row],[Working Days]]&lt;=260,Table2[[#This Row],[Working Days]]-Table2[[#This Row],[Days Present (last 12 months)]],260-Table2[[#This Row],[Days Present (last 12 months)]])</f>
        <v>51</v>
      </c>
      <c r="K28" s="20">
        <f ca="1">Table2[[#This Row],[Days Present (last 12 months)]]/(Table2[[#This Row],[Days Present (last 12 months)]]+Table2[[#This Row],[Absent Days]])</f>
        <v>0.80384615384615388</v>
      </c>
      <c r="L28" s="2" t="s">
        <v>198</v>
      </c>
      <c r="M28" s="2"/>
      <c r="N28" s="2">
        <f ca="1">IF(Table2[[#This Row],[Status]]="Leaver",DATEDIF(Table2[[#This Row],[Join Date]],Table2[[#This Row],[End Date]],"Y"),DATEDIF(Table2[[#This Row],[Join Date]],TODAY(),"Y"))</f>
        <v>6</v>
      </c>
      <c r="O28" s="2">
        <f ca="1">COUNTIF(Table2[[#This Row],[Join Date]],"&gt;=" &amp; EDATE(TODAY(),-12))</f>
        <v>0</v>
      </c>
    </row>
    <row r="29" spans="1:15" x14ac:dyDescent="0.25">
      <c r="A29" s="2" t="s">
        <v>108</v>
      </c>
      <c r="B29" s="2" t="s">
        <v>109</v>
      </c>
      <c r="C29" s="2" t="s">
        <v>37</v>
      </c>
      <c r="D29" s="2" t="s">
        <v>29</v>
      </c>
      <c r="E29" s="3">
        <v>34214</v>
      </c>
      <c r="F29" s="2" t="s">
        <v>110</v>
      </c>
      <c r="G29" s="2">
        <f ca="1">NETWORKDAYS(Table2[[#This Row],[Join Date]],TODAY())</f>
        <v>2678</v>
      </c>
      <c r="H29" s="2">
        <v>211</v>
      </c>
      <c r="I29" s="2">
        <v>3.2</v>
      </c>
      <c r="J29" s="2">
        <f ca="1">IF(Table2[[#This Row],[Working Days]]&lt;=260,Table2[[#This Row],[Working Days]]-Table2[[#This Row],[Days Present (last 12 months)]],260-Table2[[#This Row],[Days Present (last 12 months)]])</f>
        <v>49</v>
      </c>
      <c r="K29" s="20">
        <f ca="1">Table2[[#This Row],[Days Present (last 12 months)]]/(Table2[[#This Row],[Days Present (last 12 months)]]+Table2[[#This Row],[Absent Days]])</f>
        <v>0.81153846153846154</v>
      </c>
      <c r="L29" s="2" t="s">
        <v>198</v>
      </c>
      <c r="M29" s="2"/>
      <c r="N29" s="2">
        <f ca="1">IF(Table2[[#This Row],[Status]]="Leaver",DATEDIF(Table2[[#This Row],[Join Date]],Table2[[#This Row],[End Date]],"Y"),DATEDIF(Table2[[#This Row],[Join Date]],TODAY(),"Y"))</f>
        <v>10</v>
      </c>
      <c r="O29" s="2">
        <f ca="1">COUNTIF(Table2[[#This Row],[Join Date]],"&gt;=" &amp; EDATE(TODAY(),-12))</f>
        <v>0</v>
      </c>
    </row>
    <row r="30" spans="1:15" x14ac:dyDescent="0.25">
      <c r="A30" s="2" t="s">
        <v>111</v>
      </c>
      <c r="B30" s="2" t="s">
        <v>112</v>
      </c>
      <c r="C30" s="2" t="s">
        <v>45</v>
      </c>
      <c r="D30" s="2" t="s">
        <v>33</v>
      </c>
      <c r="E30" s="3">
        <v>62604</v>
      </c>
      <c r="F30" s="2" t="s">
        <v>113</v>
      </c>
      <c r="G30" s="2">
        <f ca="1">NETWORKDAYS(Table2[[#This Row],[Join Date]],TODAY())</f>
        <v>2338</v>
      </c>
      <c r="H30" s="2">
        <v>258</v>
      </c>
      <c r="I30" s="2">
        <v>3.1</v>
      </c>
      <c r="J30" s="2">
        <f ca="1">IF(Table2[[#This Row],[Working Days]]&lt;=260,Table2[[#This Row],[Working Days]]-Table2[[#This Row],[Days Present (last 12 months)]],260-Table2[[#This Row],[Days Present (last 12 months)]])</f>
        <v>2</v>
      </c>
      <c r="K30" s="20">
        <f ca="1">Table2[[#This Row],[Days Present (last 12 months)]]/(Table2[[#This Row],[Days Present (last 12 months)]]+Table2[[#This Row],[Absent Days]])</f>
        <v>0.99230769230769234</v>
      </c>
      <c r="L30" s="2" t="s">
        <v>198</v>
      </c>
      <c r="M30" s="2"/>
      <c r="N30" s="2">
        <f ca="1">IF(Table2[[#This Row],[Status]]="Leaver",DATEDIF(Table2[[#This Row],[Join Date]],Table2[[#This Row],[End Date]],"Y"),DATEDIF(Table2[[#This Row],[Join Date]],TODAY(),"Y"))</f>
        <v>8</v>
      </c>
      <c r="O30" s="2">
        <f ca="1">COUNTIF(Table2[[#This Row],[Join Date]],"&gt;=" &amp; EDATE(TODAY(),-12))</f>
        <v>0</v>
      </c>
    </row>
    <row r="31" spans="1:15" x14ac:dyDescent="0.25">
      <c r="A31" s="2" t="s">
        <v>114</v>
      </c>
      <c r="B31" s="2" t="s">
        <v>115</v>
      </c>
      <c r="C31" s="2" t="s">
        <v>28</v>
      </c>
      <c r="D31" s="2" t="s">
        <v>29</v>
      </c>
      <c r="E31" s="3">
        <v>57458</v>
      </c>
      <c r="F31" s="2" t="s">
        <v>116</v>
      </c>
      <c r="G31" s="2">
        <f ca="1">NETWORKDAYS(Table2[[#This Row],[Join Date]],TODAY())</f>
        <v>2346</v>
      </c>
      <c r="H31" s="2">
        <v>215</v>
      </c>
      <c r="I31" s="2">
        <v>2.6</v>
      </c>
      <c r="J31" s="2">
        <f ca="1">IF(Table2[[#This Row],[Working Days]]&lt;=260,Table2[[#This Row],[Working Days]]-Table2[[#This Row],[Days Present (last 12 months)]],260-Table2[[#This Row],[Days Present (last 12 months)]])</f>
        <v>45</v>
      </c>
      <c r="K31" s="20">
        <f ca="1">Table2[[#This Row],[Days Present (last 12 months)]]/(Table2[[#This Row],[Days Present (last 12 months)]]+Table2[[#This Row],[Absent Days]])</f>
        <v>0.82692307692307687</v>
      </c>
      <c r="L31" s="2" t="s">
        <v>197</v>
      </c>
      <c r="M31" s="35">
        <v>43084</v>
      </c>
      <c r="N31" s="2">
        <f ca="1">IF(Table2[[#This Row],[Status]]="Leaver",DATEDIF(Table2[[#This Row],[Join Date]],Table2[[#This Row],[End Date]],"Y"),DATEDIF(Table2[[#This Row],[Join Date]],TODAY(),"Y"))</f>
        <v>1</v>
      </c>
      <c r="O31" s="2">
        <f ca="1">COUNTIF(Table2[[#This Row],[Join Date]],"&gt;=" &amp; EDATE(TODAY(),-12))</f>
        <v>0</v>
      </c>
    </row>
    <row r="32" spans="1:15" x14ac:dyDescent="0.25">
      <c r="A32" s="2" t="s">
        <v>117</v>
      </c>
      <c r="B32" s="2" t="s">
        <v>118</v>
      </c>
      <c r="C32" s="2" t="s">
        <v>45</v>
      </c>
      <c r="D32" s="2" t="s">
        <v>20</v>
      </c>
      <c r="E32" s="3">
        <v>46147</v>
      </c>
      <c r="F32" s="2" t="s">
        <v>119</v>
      </c>
      <c r="G32" s="2">
        <f ca="1">NETWORKDAYS(Table2[[#This Row],[Join Date]],TODAY())</f>
        <v>1503</v>
      </c>
      <c r="H32" s="2">
        <v>204</v>
      </c>
      <c r="I32" s="2">
        <v>4.9000000000000004</v>
      </c>
      <c r="J32" s="2">
        <f ca="1">IF(Table2[[#This Row],[Working Days]]&lt;=260,Table2[[#This Row],[Working Days]]-Table2[[#This Row],[Days Present (last 12 months)]],260-Table2[[#This Row],[Days Present (last 12 months)]])</f>
        <v>56</v>
      </c>
      <c r="K32" s="20">
        <f ca="1">Table2[[#This Row],[Days Present (last 12 months)]]/(Table2[[#This Row],[Days Present (last 12 months)]]+Table2[[#This Row],[Absent Days]])</f>
        <v>0.7846153846153846</v>
      </c>
      <c r="L32" s="2" t="s">
        <v>198</v>
      </c>
      <c r="M32" s="2"/>
      <c r="N32" s="2">
        <f ca="1">IF(Table2[[#This Row],[Status]]="Leaver",DATEDIF(Table2[[#This Row],[Join Date]],Table2[[#This Row],[End Date]],"Y"),DATEDIF(Table2[[#This Row],[Join Date]],TODAY(),"Y"))</f>
        <v>5</v>
      </c>
      <c r="O32" s="2">
        <f ca="1">COUNTIF(Table2[[#This Row],[Join Date]],"&gt;=" &amp; EDATE(TODAY(),-12))</f>
        <v>0</v>
      </c>
    </row>
    <row r="33" spans="1:15" x14ac:dyDescent="0.25">
      <c r="A33" s="2" t="s">
        <v>120</v>
      </c>
      <c r="B33" s="2" t="s">
        <v>121</v>
      </c>
      <c r="C33" s="2" t="s">
        <v>45</v>
      </c>
      <c r="D33" s="2" t="s">
        <v>41</v>
      </c>
      <c r="E33" s="3">
        <v>53425</v>
      </c>
      <c r="F33" s="2" t="s">
        <v>122</v>
      </c>
      <c r="G33" s="2">
        <f ca="1">NETWORKDAYS(Table2[[#This Row],[Join Date]],TODAY())</f>
        <v>2367</v>
      </c>
      <c r="H33" s="2">
        <v>242</v>
      </c>
      <c r="I33" s="2">
        <v>4.5</v>
      </c>
      <c r="J33" s="2">
        <f ca="1">IF(Table2[[#This Row],[Working Days]]&lt;=260,Table2[[#This Row],[Working Days]]-Table2[[#This Row],[Days Present (last 12 months)]],260-Table2[[#This Row],[Days Present (last 12 months)]])</f>
        <v>18</v>
      </c>
      <c r="K33" s="20">
        <f ca="1">Table2[[#This Row],[Days Present (last 12 months)]]/(Table2[[#This Row],[Days Present (last 12 months)]]+Table2[[#This Row],[Absent Days]])</f>
        <v>0.93076923076923079</v>
      </c>
      <c r="L33" s="2" t="s">
        <v>198</v>
      </c>
      <c r="M33" s="2"/>
      <c r="N33" s="2">
        <f ca="1">IF(Table2[[#This Row],[Status]]="Leaver",DATEDIF(Table2[[#This Row],[Join Date]],Table2[[#This Row],[End Date]],"Y"),DATEDIF(Table2[[#This Row],[Join Date]],TODAY(),"Y"))</f>
        <v>9</v>
      </c>
      <c r="O33" s="2">
        <f ca="1">COUNTIF(Table2[[#This Row],[Join Date]],"&gt;=" &amp; EDATE(TODAY(),-12))</f>
        <v>0</v>
      </c>
    </row>
    <row r="34" spans="1:15" x14ac:dyDescent="0.25">
      <c r="A34" s="2" t="s">
        <v>123</v>
      </c>
      <c r="B34" s="2" t="s">
        <v>124</v>
      </c>
      <c r="C34" s="2" t="s">
        <v>37</v>
      </c>
      <c r="D34" s="2" t="s">
        <v>33</v>
      </c>
      <c r="E34" s="3">
        <v>42013</v>
      </c>
      <c r="F34" s="2" t="s">
        <v>125</v>
      </c>
      <c r="G34" s="2">
        <f ca="1">NETWORKDAYS(Table2[[#This Row],[Join Date]],TODAY())</f>
        <v>1634</v>
      </c>
      <c r="H34" s="2">
        <v>258</v>
      </c>
      <c r="I34" s="2">
        <v>4.5999999999999996</v>
      </c>
      <c r="J34" s="2">
        <f ca="1">IF(Table2[[#This Row],[Working Days]]&lt;=260,Table2[[#This Row],[Working Days]]-Table2[[#This Row],[Days Present (last 12 months)]],260-Table2[[#This Row],[Days Present (last 12 months)]])</f>
        <v>2</v>
      </c>
      <c r="K34" s="20">
        <f ca="1">Table2[[#This Row],[Days Present (last 12 months)]]/(Table2[[#This Row],[Days Present (last 12 months)]]+Table2[[#This Row],[Absent Days]])</f>
        <v>0.99230769230769234</v>
      </c>
      <c r="L34" s="2" t="s">
        <v>198</v>
      </c>
      <c r="M34" s="2"/>
      <c r="N34" s="2">
        <f ca="1">IF(Table2[[#This Row],[Status]]="Leaver",DATEDIF(Table2[[#This Row],[Join Date]],Table2[[#This Row],[End Date]],"Y"),DATEDIF(Table2[[#This Row],[Join Date]],TODAY(),"Y"))</f>
        <v>6</v>
      </c>
      <c r="O34" s="2">
        <f ca="1">COUNTIF(Table2[[#This Row],[Join Date]],"&gt;=" &amp; EDATE(TODAY(),-12))</f>
        <v>0</v>
      </c>
    </row>
    <row r="35" spans="1:15" x14ac:dyDescent="0.25">
      <c r="A35" s="2" t="s">
        <v>126</v>
      </c>
      <c r="B35" s="2" t="s">
        <v>127</v>
      </c>
      <c r="C35" s="2" t="s">
        <v>24</v>
      </c>
      <c r="D35" s="2" t="s">
        <v>33</v>
      </c>
      <c r="E35" s="3">
        <v>58099</v>
      </c>
      <c r="F35" s="2" t="s">
        <v>128</v>
      </c>
      <c r="G35" s="2">
        <f ca="1">NETWORKDAYS(Table2[[#This Row],[Join Date]],TODAY())</f>
        <v>1452</v>
      </c>
      <c r="H35" s="2">
        <v>241</v>
      </c>
      <c r="I35" s="2">
        <v>4.0999999999999996</v>
      </c>
      <c r="J35" s="2">
        <f ca="1">IF(Table2[[#This Row],[Working Days]]&lt;=260,Table2[[#This Row],[Working Days]]-Table2[[#This Row],[Days Present (last 12 months)]],260-Table2[[#This Row],[Days Present (last 12 months)]])</f>
        <v>19</v>
      </c>
      <c r="K35" s="20">
        <f ca="1">Table2[[#This Row],[Days Present (last 12 months)]]/(Table2[[#This Row],[Days Present (last 12 months)]]+Table2[[#This Row],[Absent Days]])</f>
        <v>0.92692307692307696</v>
      </c>
      <c r="L35" s="2" t="s">
        <v>198</v>
      </c>
      <c r="M35" s="2"/>
      <c r="N35" s="2">
        <f ca="1">IF(Table2[[#This Row],[Status]]="Leaver",DATEDIF(Table2[[#This Row],[Join Date]],Table2[[#This Row],[End Date]],"Y"),DATEDIF(Table2[[#This Row],[Join Date]],TODAY(),"Y"))</f>
        <v>5</v>
      </c>
      <c r="O35" s="2">
        <f ca="1">COUNTIF(Table2[[#This Row],[Join Date]],"&gt;=" &amp; EDATE(TODAY(),-12))</f>
        <v>0</v>
      </c>
    </row>
    <row r="36" spans="1:15" x14ac:dyDescent="0.25">
      <c r="A36" s="2" t="s">
        <v>129</v>
      </c>
      <c r="B36" s="2" t="s">
        <v>130</v>
      </c>
      <c r="C36" s="2" t="s">
        <v>28</v>
      </c>
      <c r="D36" s="2" t="s">
        <v>29</v>
      </c>
      <c r="E36" s="3">
        <v>40970</v>
      </c>
      <c r="F36" s="2" t="s">
        <v>131</v>
      </c>
      <c r="G36" s="2">
        <f ca="1">NETWORKDAYS(Table2[[#This Row],[Join Date]],TODAY())</f>
        <v>1024</v>
      </c>
      <c r="H36" s="2">
        <v>250</v>
      </c>
      <c r="I36" s="2">
        <v>4.5999999999999996</v>
      </c>
      <c r="J36" s="2">
        <f ca="1">IF(Table2[[#This Row],[Working Days]]&lt;=260,Table2[[#This Row],[Working Days]]-Table2[[#This Row],[Days Present (last 12 months)]],260-Table2[[#This Row],[Days Present (last 12 months)]])</f>
        <v>10</v>
      </c>
      <c r="K36" s="20">
        <f ca="1">Table2[[#This Row],[Days Present (last 12 months)]]/(Table2[[#This Row],[Days Present (last 12 months)]]+Table2[[#This Row],[Absent Days]])</f>
        <v>0.96153846153846156</v>
      </c>
      <c r="L36" s="2" t="s">
        <v>198</v>
      </c>
      <c r="M36" s="2"/>
      <c r="N36" s="2">
        <f ca="1">IF(Table2[[#This Row],[Status]]="Leaver",DATEDIF(Table2[[#This Row],[Join Date]],Table2[[#This Row],[End Date]],"Y"),DATEDIF(Table2[[#This Row],[Join Date]],TODAY(),"Y"))</f>
        <v>3</v>
      </c>
      <c r="O36" s="2">
        <f ca="1">COUNTIF(Table2[[#This Row],[Join Date]],"&gt;=" &amp; EDATE(TODAY(),-12))</f>
        <v>0</v>
      </c>
    </row>
    <row r="37" spans="1:15" x14ac:dyDescent="0.25">
      <c r="A37" s="2" t="s">
        <v>132</v>
      </c>
      <c r="B37" s="2" t="s">
        <v>133</v>
      </c>
      <c r="C37" s="2" t="s">
        <v>45</v>
      </c>
      <c r="D37" s="2" t="s">
        <v>41</v>
      </c>
      <c r="E37" s="3">
        <v>38750</v>
      </c>
      <c r="F37" s="2" t="s">
        <v>134</v>
      </c>
      <c r="G37" s="2">
        <f ca="1">NETWORKDAYS(Table2[[#This Row],[Join Date]],TODAY())</f>
        <v>1260</v>
      </c>
      <c r="H37" s="2">
        <v>214</v>
      </c>
      <c r="I37" s="2">
        <v>3.8</v>
      </c>
      <c r="J37" s="2">
        <f ca="1">IF(Table2[[#This Row],[Working Days]]&lt;=260,Table2[[#This Row],[Working Days]]-Table2[[#This Row],[Days Present (last 12 months)]],260-Table2[[#This Row],[Days Present (last 12 months)]])</f>
        <v>46</v>
      </c>
      <c r="K37" s="20">
        <f ca="1">Table2[[#This Row],[Days Present (last 12 months)]]/(Table2[[#This Row],[Days Present (last 12 months)]]+Table2[[#This Row],[Absent Days]])</f>
        <v>0.82307692307692304</v>
      </c>
      <c r="L37" s="2" t="s">
        <v>198</v>
      </c>
      <c r="M37" s="2"/>
      <c r="N37" s="2">
        <f ca="1">IF(Table2[[#This Row],[Status]]="Leaver",DATEDIF(Table2[[#This Row],[Join Date]],Table2[[#This Row],[End Date]],"Y"),DATEDIF(Table2[[#This Row],[Join Date]],TODAY(),"Y"))</f>
        <v>4</v>
      </c>
      <c r="O37" s="2">
        <f ca="1">COUNTIF(Table2[[#This Row],[Join Date]],"&gt;=" &amp; EDATE(TODAY(),-12))</f>
        <v>0</v>
      </c>
    </row>
    <row r="38" spans="1:15" x14ac:dyDescent="0.25">
      <c r="A38" s="2" t="s">
        <v>135</v>
      </c>
      <c r="B38" s="2" t="s">
        <v>136</v>
      </c>
      <c r="C38" s="2" t="s">
        <v>28</v>
      </c>
      <c r="D38" s="2" t="s">
        <v>49</v>
      </c>
      <c r="E38" s="3">
        <v>43235</v>
      </c>
      <c r="F38" s="2" t="s">
        <v>137</v>
      </c>
      <c r="G38" s="2">
        <f ca="1">NETWORKDAYS(Table2[[#This Row],[Join Date]],TODAY())</f>
        <v>2411</v>
      </c>
      <c r="H38" s="2">
        <v>221</v>
      </c>
      <c r="I38" s="2">
        <v>3.8</v>
      </c>
      <c r="J38" s="2">
        <f ca="1">IF(Table2[[#This Row],[Working Days]]&lt;=260,Table2[[#This Row],[Working Days]]-Table2[[#This Row],[Days Present (last 12 months)]],260-Table2[[#This Row],[Days Present (last 12 months)]])</f>
        <v>39</v>
      </c>
      <c r="K38" s="20">
        <f ca="1">Table2[[#This Row],[Days Present (last 12 months)]]/(Table2[[#This Row],[Days Present (last 12 months)]]+Table2[[#This Row],[Absent Days]])</f>
        <v>0.85</v>
      </c>
      <c r="L38" s="2" t="s">
        <v>198</v>
      </c>
      <c r="M38" s="2"/>
      <c r="N38" s="2">
        <f ca="1">IF(Table2[[#This Row],[Status]]="Leaver",DATEDIF(Table2[[#This Row],[Join Date]],Table2[[#This Row],[End Date]],"Y"),DATEDIF(Table2[[#This Row],[Join Date]],TODAY(),"Y"))</f>
        <v>9</v>
      </c>
      <c r="O38" s="2">
        <f ca="1">COUNTIF(Table2[[#This Row],[Join Date]],"&gt;=" &amp; EDATE(TODAY(),-12))</f>
        <v>0</v>
      </c>
    </row>
    <row r="39" spans="1:15" x14ac:dyDescent="0.25">
      <c r="A39" s="2" t="s">
        <v>138</v>
      </c>
      <c r="B39" s="2" t="s">
        <v>139</v>
      </c>
      <c r="C39" s="2" t="s">
        <v>19</v>
      </c>
      <c r="D39" s="2" t="s">
        <v>29</v>
      </c>
      <c r="E39" s="3">
        <v>48550</v>
      </c>
      <c r="F39" s="2" t="s">
        <v>140</v>
      </c>
      <c r="G39" s="2">
        <f ca="1">NETWORKDAYS(Table2[[#This Row],[Join Date]],TODAY())</f>
        <v>1133</v>
      </c>
      <c r="H39" s="2">
        <v>250</v>
      </c>
      <c r="I39" s="2">
        <v>4.2</v>
      </c>
      <c r="J39" s="2">
        <f ca="1">IF(Table2[[#This Row],[Working Days]]&lt;=260,Table2[[#This Row],[Working Days]]-Table2[[#This Row],[Days Present (last 12 months)]],260-Table2[[#This Row],[Days Present (last 12 months)]])</f>
        <v>10</v>
      </c>
      <c r="K39" s="20">
        <f ca="1">Table2[[#This Row],[Days Present (last 12 months)]]/(Table2[[#This Row],[Days Present (last 12 months)]]+Table2[[#This Row],[Absent Days]])</f>
        <v>0.96153846153846156</v>
      </c>
      <c r="L39" s="2" t="s">
        <v>198</v>
      </c>
      <c r="M39" s="2"/>
      <c r="N39" s="2">
        <f ca="1">IF(Table2[[#This Row],[Status]]="Leaver",DATEDIF(Table2[[#This Row],[Join Date]],Table2[[#This Row],[End Date]],"Y"),DATEDIF(Table2[[#This Row],[Join Date]],TODAY(),"Y"))</f>
        <v>4</v>
      </c>
      <c r="O39" s="2">
        <f ca="1">COUNTIF(Table2[[#This Row],[Join Date]],"&gt;=" &amp; EDATE(TODAY(),-12))</f>
        <v>0</v>
      </c>
    </row>
    <row r="40" spans="1:15" x14ac:dyDescent="0.25">
      <c r="A40" s="2" t="s">
        <v>141</v>
      </c>
      <c r="B40" s="2" t="s">
        <v>142</v>
      </c>
      <c r="C40" s="2" t="s">
        <v>28</v>
      </c>
      <c r="D40" s="2" t="s">
        <v>143</v>
      </c>
      <c r="E40" s="3">
        <v>35551</v>
      </c>
      <c r="F40" s="2" t="s">
        <v>144</v>
      </c>
      <c r="G40" s="2">
        <f ca="1">NETWORKDAYS(Table2[[#This Row],[Join Date]],TODAY())</f>
        <v>2099</v>
      </c>
      <c r="H40" s="2">
        <v>258</v>
      </c>
      <c r="I40" s="2">
        <v>3.8</v>
      </c>
      <c r="J40" s="2">
        <f ca="1">IF(Table2[[#This Row],[Working Days]]&lt;=260,Table2[[#This Row],[Working Days]]-Table2[[#This Row],[Days Present (last 12 months)]],260-Table2[[#This Row],[Days Present (last 12 months)]])</f>
        <v>2</v>
      </c>
      <c r="K40" s="20">
        <f ca="1">Table2[[#This Row],[Days Present (last 12 months)]]/(Table2[[#This Row],[Days Present (last 12 months)]]+Table2[[#This Row],[Absent Days]])</f>
        <v>0.99230769230769234</v>
      </c>
      <c r="L40" s="2" t="s">
        <v>198</v>
      </c>
      <c r="M40" s="2"/>
      <c r="N40" s="2">
        <f ca="1">IF(Table2[[#This Row],[Status]]="Leaver",DATEDIF(Table2[[#This Row],[Join Date]],Table2[[#This Row],[End Date]],"Y"),DATEDIF(Table2[[#This Row],[Join Date]],TODAY(),"Y"))</f>
        <v>8</v>
      </c>
      <c r="O40" s="2">
        <f ca="1">COUNTIF(Table2[[#This Row],[Join Date]],"&gt;=" &amp; EDATE(TODAY(),-12))</f>
        <v>0</v>
      </c>
    </row>
    <row r="41" spans="1:15" x14ac:dyDescent="0.25">
      <c r="A41" s="2" t="s">
        <v>145</v>
      </c>
      <c r="B41" s="2" t="s">
        <v>146</v>
      </c>
      <c r="C41" s="2" t="s">
        <v>86</v>
      </c>
      <c r="D41" s="2" t="s">
        <v>20</v>
      </c>
      <c r="E41" s="3">
        <v>49715</v>
      </c>
      <c r="F41" s="2" t="s">
        <v>147</v>
      </c>
      <c r="G41" s="2">
        <f ca="1">NETWORKDAYS(Table2[[#This Row],[Join Date]],TODAY())</f>
        <v>1524</v>
      </c>
      <c r="H41" s="2">
        <v>236</v>
      </c>
      <c r="I41" s="2">
        <v>4.4000000000000004</v>
      </c>
      <c r="J41" s="2">
        <f ca="1">IF(Table2[[#This Row],[Working Days]]&lt;=260,Table2[[#This Row],[Working Days]]-Table2[[#This Row],[Days Present (last 12 months)]],260-Table2[[#This Row],[Days Present (last 12 months)]])</f>
        <v>24</v>
      </c>
      <c r="K41" s="20">
        <f ca="1">Table2[[#This Row],[Days Present (last 12 months)]]/(Table2[[#This Row],[Days Present (last 12 months)]]+Table2[[#This Row],[Absent Days]])</f>
        <v>0.90769230769230769</v>
      </c>
      <c r="L41" s="2" t="s">
        <v>198</v>
      </c>
      <c r="M41" s="2"/>
      <c r="N41" s="2">
        <f ca="1">IF(Table2[[#This Row],[Status]]="Leaver",DATEDIF(Table2[[#This Row],[Join Date]],Table2[[#This Row],[End Date]],"Y"),DATEDIF(Table2[[#This Row],[Join Date]],TODAY(),"Y"))</f>
        <v>5</v>
      </c>
      <c r="O41" s="2">
        <f ca="1">COUNTIF(Table2[[#This Row],[Join Date]],"&gt;=" &amp; EDATE(TODAY(),-12))</f>
        <v>0</v>
      </c>
    </row>
    <row r="42" spans="1:15" x14ac:dyDescent="0.25">
      <c r="A42" s="2" t="s">
        <v>148</v>
      </c>
      <c r="B42" s="2" t="s">
        <v>139</v>
      </c>
      <c r="C42" s="2" t="s">
        <v>45</v>
      </c>
      <c r="D42" s="2" t="s">
        <v>20</v>
      </c>
      <c r="E42" s="3">
        <v>27465</v>
      </c>
      <c r="F42" s="2" t="s">
        <v>149</v>
      </c>
      <c r="G42" s="2">
        <f ca="1">NETWORKDAYS(Table2[[#This Row],[Join Date]],TODAY())</f>
        <v>2707</v>
      </c>
      <c r="H42" s="2">
        <v>207</v>
      </c>
      <c r="I42" s="2">
        <v>3.8</v>
      </c>
      <c r="J42" s="2">
        <f ca="1">IF(Table2[[#This Row],[Working Days]]&lt;=260,Table2[[#This Row],[Working Days]]-Table2[[#This Row],[Days Present (last 12 months)]],260-Table2[[#This Row],[Days Present (last 12 months)]])</f>
        <v>53</v>
      </c>
      <c r="K42" s="20">
        <f ca="1">Table2[[#This Row],[Days Present (last 12 months)]]/(Table2[[#This Row],[Days Present (last 12 months)]]+Table2[[#This Row],[Absent Days]])</f>
        <v>0.7961538461538461</v>
      </c>
      <c r="L42" s="2" t="s">
        <v>198</v>
      </c>
      <c r="M42" s="2"/>
      <c r="N42" s="2">
        <f ca="1">IF(Table2[[#This Row],[Status]]="Leaver",DATEDIF(Table2[[#This Row],[Join Date]],Table2[[#This Row],[End Date]],"Y"),DATEDIF(Table2[[#This Row],[Join Date]],TODAY(),"Y"))</f>
        <v>10</v>
      </c>
      <c r="O42" s="2">
        <f ca="1">COUNTIF(Table2[[#This Row],[Join Date]],"&gt;=" &amp; EDATE(TODAY(),-12))</f>
        <v>0</v>
      </c>
    </row>
    <row r="43" spans="1:15" x14ac:dyDescent="0.25">
      <c r="A43" s="2" t="s">
        <v>150</v>
      </c>
      <c r="B43" s="2" t="s">
        <v>151</v>
      </c>
      <c r="C43" s="2" t="s">
        <v>19</v>
      </c>
      <c r="D43" s="2" t="s">
        <v>49</v>
      </c>
      <c r="E43" s="3">
        <v>38212</v>
      </c>
      <c r="F43" s="2" t="s">
        <v>152</v>
      </c>
      <c r="G43" s="2">
        <f ca="1">NETWORKDAYS(Table2[[#This Row],[Join Date]],TODAY())</f>
        <v>831</v>
      </c>
      <c r="H43" s="2">
        <v>235</v>
      </c>
      <c r="I43" s="2">
        <v>3.5</v>
      </c>
      <c r="J43" s="2">
        <f ca="1">IF(Table2[[#This Row],[Working Days]]&lt;=260,Table2[[#This Row],[Working Days]]-Table2[[#This Row],[Days Present (last 12 months)]],260-Table2[[#This Row],[Days Present (last 12 months)]])</f>
        <v>25</v>
      </c>
      <c r="K43" s="20">
        <f ca="1">Table2[[#This Row],[Days Present (last 12 months)]]/(Table2[[#This Row],[Days Present (last 12 months)]]+Table2[[#This Row],[Absent Days]])</f>
        <v>0.90384615384615385</v>
      </c>
      <c r="L43" s="2" t="s">
        <v>198</v>
      </c>
      <c r="M43" s="2"/>
      <c r="N43" s="2">
        <f ca="1">IF(Table2[[#This Row],[Status]]="Leaver",DATEDIF(Table2[[#This Row],[Join Date]],Table2[[#This Row],[End Date]],"Y"),DATEDIF(Table2[[#This Row],[Join Date]],TODAY(),"Y"))</f>
        <v>3</v>
      </c>
      <c r="O43" s="2">
        <f ca="1">COUNTIF(Table2[[#This Row],[Join Date]],"&gt;=" &amp; EDATE(TODAY(),-12))</f>
        <v>0</v>
      </c>
    </row>
    <row r="44" spans="1:15" x14ac:dyDescent="0.25">
      <c r="A44" s="2" t="s">
        <v>153</v>
      </c>
      <c r="B44" s="2" t="s">
        <v>154</v>
      </c>
      <c r="C44" s="2" t="s">
        <v>24</v>
      </c>
      <c r="D44" s="2" t="s">
        <v>33</v>
      </c>
      <c r="E44" s="3">
        <v>42630</v>
      </c>
      <c r="F44" s="2" t="s">
        <v>155</v>
      </c>
      <c r="G44" s="2">
        <f ca="1">NETWORKDAYS(Table2[[#This Row],[Join Date]],TODAY())</f>
        <v>2700</v>
      </c>
      <c r="H44" s="2">
        <v>255</v>
      </c>
      <c r="I44" s="2">
        <v>4.5999999999999996</v>
      </c>
      <c r="J44" s="2">
        <f ca="1">IF(Table2[[#This Row],[Working Days]]&lt;=260,Table2[[#This Row],[Working Days]]-Table2[[#This Row],[Days Present (last 12 months)]],260-Table2[[#This Row],[Days Present (last 12 months)]])</f>
        <v>5</v>
      </c>
      <c r="K44" s="20">
        <f ca="1">Table2[[#This Row],[Days Present (last 12 months)]]/(Table2[[#This Row],[Days Present (last 12 months)]]+Table2[[#This Row],[Absent Days]])</f>
        <v>0.98076923076923073</v>
      </c>
      <c r="L44" s="2" t="s">
        <v>198</v>
      </c>
      <c r="M44" s="2"/>
      <c r="N44" s="2">
        <f ca="1">IF(Table2[[#This Row],[Status]]="Leaver",DATEDIF(Table2[[#This Row],[Join Date]],Table2[[#This Row],[End Date]],"Y"),DATEDIF(Table2[[#This Row],[Join Date]],TODAY(),"Y"))</f>
        <v>10</v>
      </c>
      <c r="O44" s="2">
        <f ca="1">COUNTIF(Table2[[#This Row],[Join Date]],"&gt;=" &amp; EDATE(TODAY(),-12))</f>
        <v>0</v>
      </c>
    </row>
    <row r="45" spans="1:15" x14ac:dyDescent="0.25">
      <c r="A45" s="2" t="s">
        <v>156</v>
      </c>
      <c r="B45" s="2" t="s">
        <v>124</v>
      </c>
      <c r="C45" s="2" t="s">
        <v>28</v>
      </c>
      <c r="D45" s="2" t="s">
        <v>49</v>
      </c>
      <c r="E45" s="3">
        <v>62233</v>
      </c>
      <c r="F45" s="2" t="s">
        <v>157</v>
      </c>
      <c r="G45" s="2">
        <f ca="1">NETWORKDAYS(Table2[[#This Row],[Join Date]],TODAY())</f>
        <v>1094</v>
      </c>
      <c r="H45" s="2">
        <v>209</v>
      </c>
      <c r="I45" s="2">
        <v>3.4</v>
      </c>
      <c r="J45" s="2">
        <f ca="1">IF(Table2[[#This Row],[Working Days]]&lt;=260,Table2[[#This Row],[Working Days]]-Table2[[#This Row],[Days Present (last 12 months)]],260-Table2[[#This Row],[Days Present (last 12 months)]])</f>
        <v>51</v>
      </c>
      <c r="K45" s="20">
        <f ca="1">Table2[[#This Row],[Days Present (last 12 months)]]/(Table2[[#This Row],[Days Present (last 12 months)]]+Table2[[#This Row],[Absent Days]])</f>
        <v>0.80384615384615388</v>
      </c>
      <c r="L45" s="2" t="s">
        <v>198</v>
      </c>
      <c r="M45" s="2"/>
      <c r="N45" s="2">
        <f ca="1">IF(Table2[[#This Row],[Status]]="Leaver",DATEDIF(Table2[[#This Row],[Join Date]],Table2[[#This Row],[End Date]],"Y"),DATEDIF(Table2[[#This Row],[Join Date]],TODAY(),"Y"))</f>
        <v>4</v>
      </c>
      <c r="O45" s="2">
        <f ca="1">COUNTIF(Table2[[#This Row],[Join Date]],"&gt;=" &amp; EDATE(TODAY(),-12))</f>
        <v>0</v>
      </c>
    </row>
    <row r="46" spans="1:15" x14ac:dyDescent="0.25">
      <c r="A46" s="2" t="s">
        <v>158</v>
      </c>
      <c r="B46" s="2" t="s">
        <v>159</v>
      </c>
      <c r="C46" s="2" t="s">
        <v>62</v>
      </c>
      <c r="D46" s="2" t="s">
        <v>29</v>
      </c>
      <c r="E46" s="3">
        <v>52472</v>
      </c>
      <c r="F46" s="2" t="s">
        <v>160</v>
      </c>
      <c r="G46" s="2">
        <f ca="1">NETWORKDAYS(Table2[[#This Row],[Join Date]],TODAY())</f>
        <v>2323</v>
      </c>
      <c r="H46" s="2">
        <v>238</v>
      </c>
      <c r="I46" s="2">
        <v>3.3</v>
      </c>
      <c r="J46" s="2">
        <f ca="1">IF(Table2[[#This Row],[Working Days]]&lt;=260,Table2[[#This Row],[Working Days]]-Table2[[#This Row],[Days Present (last 12 months)]],260-Table2[[#This Row],[Days Present (last 12 months)]])</f>
        <v>22</v>
      </c>
      <c r="K46" s="20">
        <f ca="1">Table2[[#This Row],[Days Present (last 12 months)]]/(Table2[[#This Row],[Days Present (last 12 months)]]+Table2[[#This Row],[Absent Days]])</f>
        <v>0.91538461538461535</v>
      </c>
      <c r="L46" s="2" t="s">
        <v>198</v>
      </c>
      <c r="M46" s="2"/>
      <c r="N46" s="2">
        <f ca="1">IF(Table2[[#This Row],[Status]]="Leaver",DATEDIF(Table2[[#This Row],[Join Date]],Table2[[#This Row],[End Date]],"Y"),DATEDIF(Table2[[#This Row],[Join Date]],TODAY(),"Y"))</f>
        <v>8</v>
      </c>
      <c r="O46" s="2">
        <f ca="1">COUNTIF(Table2[[#This Row],[Join Date]],"&gt;=" &amp; EDATE(TODAY(),-12))</f>
        <v>0</v>
      </c>
    </row>
    <row r="47" spans="1:15" x14ac:dyDescent="0.25">
      <c r="A47" s="2" t="s">
        <v>161</v>
      </c>
      <c r="B47" s="2" t="s">
        <v>162</v>
      </c>
      <c r="C47" s="2" t="s">
        <v>45</v>
      </c>
      <c r="D47" s="2" t="s">
        <v>20</v>
      </c>
      <c r="E47" s="3">
        <v>31195</v>
      </c>
      <c r="F47" s="2" t="s">
        <v>163</v>
      </c>
      <c r="G47" s="2">
        <f ca="1">NETWORKDAYS(Table2[[#This Row],[Join Date]],TODAY())</f>
        <v>1404</v>
      </c>
      <c r="H47" s="2">
        <v>260</v>
      </c>
      <c r="I47" s="2">
        <v>3.5</v>
      </c>
      <c r="J47" s="2">
        <f ca="1">IF(Table2[[#This Row],[Working Days]]&lt;=260,Table2[[#This Row],[Working Days]]-Table2[[#This Row],[Days Present (last 12 months)]],260-Table2[[#This Row],[Days Present (last 12 months)]])</f>
        <v>0</v>
      </c>
      <c r="K47" s="20">
        <f ca="1">Table2[[#This Row],[Days Present (last 12 months)]]/(Table2[[#This Row],[Days Present (last 12 months)]]+Table2[[#This Row],[Absent Days]])</f>
        <v>1</v>
      </c>
      <c r="L47" s="2" t="s">
        <v>198</v>
      </c>
      <c r="M47" s="2"/>
      <c r="N47" s="2">
        <f ca="1">IF(Table2[[#This Row],[Status]]="Leaver",DATEDIF(Table2[[#This Row],[Join Date]],Table2[[#This Row],[End Date]],"Y"),DATEDIF(Table2[[#This Row],[Join Date]],TODAY(),"Y"))</f>
        <v>5</v>
      </c>
      <c r="O47" s="2">
        <f ca="1">COUNTIF(Table2[[#This Row],[Join Date]],"&gt;=" &amp; EDATE(TODAY(),-12))</f>
        <v>0</v>
      </c>
    </row>
    <row r="48" spans="1:15" x14ac:dyDescent="0.25">
      <c r="A48" s="2" t="s">
        <v>164</v>
      </c>
      <c r="B48" s="2" t="s">
        <v>165</v>
      </c>
      <c r="C48" s="2" t="s">
        <v>19</v>
      </c>
      <c r="D48" s="2" t="s">
        <v>143</v>
      </c>
      <c r="E48" s="3">
        <v>42630</v>
      </c>
      <c r="F48" s="2" t="s">
        <v>122</v>
      </c>
      <c r="G48" s="2">
        <f ca="1">NETWORKDAYS(Table2[[#This Row],[Join Date]],TODAY())</f>
        <v>2367</v>
      </c>
      <c r="H48" s="2">
        <v>201</v>
      </c>
      <c r="I48" s="2">
        <v>3.4</v>
      </c>
      <c r="J48" s="2">
        <f ca="1">IF(Table2[[#This Row],[Working Days]]&lt;=260,Table2[[#This Row],[Working Days]]-Table2[[#This Row],[Days Present (last 12 months)]],260-Table2[[#This Row],[Days Present (last 12 months)]])</f>
        <v>59</v>
      </c>
      <c r="K48" s="20">
        <f ca="1">Table2[[#This Row],[Days Present (last 12 months)]]/(Table2[[#This Row],[Days Present (last 12 months)]]+Table2[[#This Row],[Absent Days]])</f>
        <v>0.77307692307692311</v>
      </c>
      <c r="L48" s="2" t="s">
        <v>197</v>
      </c>
      <c r="M48" s="35">
        <v>43044</v>
      </c>
      <c r="N48" s="2">
        <f ca="1">IF(Table2[[#This Row],[Status]]="Leaver",DATEDIF(Table2[[#This Row],[Join Date]],Table2[[#This Row],[End Date]],"Y"),DATEDIF(Table2[[#This Row],[Join Date]],TODAY(),"Y"))</f>
        <v>1</v>
      </c>
      <c r="O48" s="2">
        <f ca="1">COUNTIF(Table2[[#This Row],[Join Date]],"&gt;=" &amp; EDATE(TODAY(),-12))</f>
        <v>0</v>
      </c>
    </row>
    <row r="49" spans="1:15" x14ac:dyDescent="0.25">
      <c r="A49" s="2" t="s">
        <v>166</v>
      </c>
      <c r="B49" s="2" t="s">
        <v>167</v>
      </c>
      <c r="C49" s="2" t="s">
        <v>19</v>
      </c>
      <c r="D49" s="2" t="s">
        <v>33</v>
      </c>
      <c r="E49" s="3">
        <v>39402</v>
      </c>
      <c r="F49" s="2" t="s">
        <v>168</v>
      </c>
      <c r="G49" s="2">
        <f ca="1">NETWORKDAYS(Table2[[#This Row],[Join Date]],TODAY())</f>
        <v>1742</v>
      </c>
      <c r="H49" s="2">
        <v>243</v>
      </c>
      <c r="I49" s="2">
        <v>3.3</v>
      </c>
      <c r="J49" s="2">
        <f ca="1">IF(Table2[[#This Row],[Working Days]]&lt;=260,Table2[[#This Row],[Working Days]]-Table2[[#This Row],[Days Present (last 12 months)]],260-Table2[[#This Row],[Days Present (last 12 months)]])</f>
        <v>17</v>
      </c>
      <c r="K49" s="20">
        <f ca="1">Table2[[#This Row],[Days Present (last 12 months)]]/(Table2[[#This Row],[Days Present (last 12 months)]]+Table2[[#This Row],[Absent Days]])</f>
        <v>0.93461538461538463</v>
      </c>
      <c r="L49" s="2" t="s">
        <v>198</v>
      </c>
      <c r="M49" s="2"/>
      <c r="N49" s="2">
        <f ca="1">IF(Table2[[#This Row],[Status]]="Leaver",DATEDIF(Table2[[#This Row],[Join Date]],Table2[[#This Row],[End Date]],"Y"),DATEDIF(Table2[[#This Row],[Join Date]],TODAY(),"Y"))</f>
        <v>6</v>
      </c>
      <c r="O49" s="2">
        <f ca="1">COUNTIF(Table2[[#This Row],[Join Date]],"&gt;=" &amp; EDATE(TODAY(),-12))</f>
        <v>0</v>
      </c>
    </row>
    <row r="50" spans="1:15" x14ac:dyDescent="0.25">
      <c r="A50" s="2" t="s">
        <v>169</v>
      </c>
      <c r="B50" s="2" t="s">
        <v>170</v>
      </c>
      <c r="C50" s="2" t="s">
        <v>24</v>
      </c>
      <c r="D50" s="2" t="s">
        <v>41</v>
      </c>
      <c r="E50" s="3">
        <v>58849</v>
      </c>
      <c r="F50" s="2" t="s">
        <v>171</v>
      </c>
      <c r="G50" s="2">
        <f ca="1">NETWORKDAYS(Table2[[#This Row],[Join Date]],TODAY())</f>
        <v>2282</v>
      </c>
      <c r="H50" s="2">
        <v>258</v>
      </c>
      <c r="I50" s="2">
        <v>3</v>
      </c>
      <c r="J50" s="2">
        <f ca="1">IF(Table2[[#This Row],[Working Days]]&lt;=260,Table2[[#This Row],[Working Days]]-Table2[[#This Row],[Days Present (last 12 months)]],260-Table2[[#This Row],[Days Present (last 12 months)]])</f>
        <v>2</v>
      </c>
      <c r="K50" s="20">
        <f ca="1">Table2[[#This Row],[Days Present (last 12 months)]]/(Table2[[#This Row],[Days Present (last 12 months)]]+Table2[[#This Row],[Absent Days]])</f>
        <v>0.99230769230769234</v>
      </c>
      <c r="L50" s="2" t="s">
        <v>198</v>
      </c>
      <c r="M50" s="2"/>
      <c r="N50" s="2">
        <f ca="1">IF(Table2[[#This Row],[Status]]="Leaver",DATEDIF(Table2[[#This Row],[Join Date]],Table2[[#This Row],[End Date]],"Y"),DATEDIF(Table2[[#This Row],[Join Date]],TODAY(),"Y"))</f>
        <v>8</v>
      </c>
      <c r="O50" s="2">
        <f ca="1">COUNTIF(Table2[[#This Row],[Join Date]],"&gt;=" &amp; EDATE(TODAY(),-12))</f>
        <v>0</v>
      </c>
    </row>
    <row r="51" spans="1:15" x14ac:dyDescent="0.25">
      <c r="A51" s="2" t="s">
        <v>172</v>
      </c>
      <c r="B51" s="2" t="s">
        <v>173</v>
      </c>
      <c r="C51" s="2" t="s">
        <v>28</v>
      </c>
      <c r="D51" s="2" t="s">
        <v>20</v>
      </c>
      <c r="E51" s="3">
        <v>32296</v>
      </c>
      <c r="F51" s="2" t="s">
        <v>174</v>
      </c>
      <c r="G51" s="2">
        <f ca="1">NETWORKDAYS(Table2[[#This Row],[Join Date]],TODAY())</f>
        <v>1997</v>
      </c>
      <c r="H51" s="2">
        <v>218</v>
      </c>
      <c r="I51" s="2">
        <v>3.3</v>
      </c>
      <c r="J51" s="2">
        <f ca="1">IF(Table2[[#This Row],[Working Days]]&lt;=260,Table2[[#This Row],[Working Days]]-Table2[[#This Row],[Days Present (last 12 months)]],260-Table2[[#This Row],[Days Present (last 12 months)]])</f>
        <v>42</v>
      </c>
      <c r="K51" s="20">
        <f ca="1">Table2[[#This Row],[Days Present (last 12 months)]]/(Table2[[#This Row],[Days Present (last 12 months)]]+Table2[[#This Row],[Absent Days]])</f>
        <v>0.83846153846153848</v>
      </c>
      <c r="L51" s="2" t="s">
        <v>198</v>
      </c>
      <c r="M51" s="2"/>
      <c r="N51" s="2">
        <f ca="1">IF(Table2[[#This Row],[Status]]="Leaver",DATEDIF(Table2[[#This Row],[Join Date]],Table2[[#This Row],[End Date]],"Y"),DATEDIF(Table2[[#This Row],[Join Date]],TODAY(),"Y"))</f>
        <v>7</v>
      </c>
      <c r="O51" s="2">
        <f ca="1">COUNTIF(Table2[[#This Row],[Join Date]],"&gt;=" &amp; EDATE(TODAY(),-12))</f>
        <v>0</v>
      </c>
    </row>
    <row r="52" spans="1:15" x14ac:dyDescent="0.25">
      <c r="A52" s="2" t="s">
        <v>201</v>
      </c>
      <c r="B52" s="2" t="s">
        <v>202</v>
      </c>
      <c r="C52" s="2" t="s">
        <v>45</v>
      </c>
      <c r="D52" s="2" t="s">
        <v>33</v>
      </c>
      <c r="E52" s="3">
        <v>27450</v>
      </c>
      <c r="F52" s="35">
        <v>45682</v>
      </c>
      <c r="G52" s="37">
        <f ca="1">NETWORKDAYS(Table2[[#This Row],[Join Date]],TODAY())</f>
        <v>217</v>
      </c>
      <c r="H52" s="2">
        <v>210</v>
      </c>
      <c r="I52" s="2">
        <v>4.5</v>
      </c>
      <c r="J52" s="2">
        <f ca="1">IF(Table2[[#This Row],[Working Days]]&lt;=260,Table2[[#This Row],[Working Days]]-Table2[[#This Row],[Days Present (last 12 months)]],260-Table2[[#This Row],[Days Present (last 12 months)]])</f>
        <v>7</v>
      </c>
      <c r="K52" s="36">
        <f ca="1">Table2[[#This Row],[Days Present (last 12 months)]]/(Table2[[#This Row],[Days Present (last 12 months)]]+Table2[[#This Row],[Absent Days]])</f>
        <v>0.967741935483871</v>
      </c>
      <c r="L52" s="2" t="s">
        <v>198</v>
      </c>
      <c r="M52" s="2"/>
      <c r="N52" s="37">
        <f ca="1">IF(Table2[[#This Row],[Status]]="Leaver",DATEDIF(Table2[[#This Row],[Join Date]],Table2[[#This Row],[End Date]],"Y"),DATEDIF(Table2[[#This Row],[Join Date]],TODAY(),"Y"))</f>
        <v>0</v>
      </c>
      <c r="O52" s="37">
        <f ca="1">COUNTIF(Table2[[#This Row],[Join Date]],"&gt;=" &amp; EDATE(TODAY(),-12))</f>
        <v>1</v>
      </c>
    </row>
    <row r="53" spans="1:15" x14ac:dyDescent="0.25">
      <c r="A53" s="2" t="s">
        <v>203</v>
      </c>
      <c r="B53" s="2" t="s">
        <v>204</v>
      </c>
      <c r="C53" s="2" t="s">
        <v>19</v>
      </c>
      <c r="D53" s="2" t="s">
        <v>33</v>
      </c>
      <c r="E53" s="3">
        <v>29568</v>
      </c>
      <c r="F53" s="35">
        <v>45833</v>
      </c>
      <c r="G53" s="37">
        <f ca="1">NETWORKDAYS(Table2[[#This Row],[Join Date]],TODAY())</f>
        <v>110</v>
      </c>
      <c r="H53" s="2">
        <v>105</v>
      </c>
      <c r="I53" s="2">
        <v>3.8</v>
      </c>
      <c r="J53" s="2">
        <f ca="1">IF(Table2[[#This Row],[Working Days]]&lt;=260,Table2[[#This Row],[Working Days]]-Table2[[#This Row],[Days Present (last 12 months)]],260-Table2[[#This Row],[Days Present (last 12 months)]])</f>
        <v>5</v>
      </c>
      <c r="K53" s="36">
        <f ca="1">Table2[[#This Row],[Days Present (last 12 months)]]/(Table2[[#This Row],[Days Present (last 12 months)]]+Table2[[#This Row],[Absent Days]])</f>
        <v>0.95454545454545459</v>
      </c>
      <c r="L53" s="2" t="s">
        <v>198</v>
      </c>
      <c r="M53" s="2"/>
      <c r="N53" s="37">
        <f ca="1">IF(Table2[[#This Row],[Status]]="Leaver",DATEDIF(Table2[[#This Row],[Join Date]],Table2[[#This Row],[End Date]],"Y"),DATEDIF(Table2[[#This Row],[Join Date]],TODAY(),"Y"))</f>
        <v>0</v>
      </c>
      <c r="O53" s="37">
        <f ca="1">COUNTIF(Table2[[#This Row],[Join Date]],"&gt;=" &amp; EDATE(TODAY(),-12))</f>
        <v>1</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268A694-EF88-45B5-B8DD-972C51748A1E}">
          <x14:formula1>
            <xm:f>Sheet1!$J$7:$J$13</xm:f>
          </x14:formula1>
          <xm:sqref>C1:C1048576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68DF-0E92-48A3-8685-622B7E241E4D}">
  <sheetPr codeName="Sheet7"/>
  <dimension ref="A1:J16"/>
  <sheetViews>
    <sheetView workbookViewId="0">
      <selection activeCell="G7" sqref="G7"/>
    </sheetView>
  </sheetViews>
  <sheetFormatPr defaultRowHeight="15" x14ac:dyDescent="0.25"/>
  <cols>
    <col min="1" max="1" width="24.42578125" bestFit="1" customWidth="1"/>
    <col min="2" max="2" width="27.140625" customWidth="1"/>
    <col min="5" max="5" width="19.85546875" bestFit="1" customWidth="1"/>
    <col min="6" max="6" width="14.28515625" bestFit="1" customWidth="1"/>
    <col min="7" max="7" width="22.5703125" bestFit="1" customWidth="1"/>
  </cols>
  <sheetData>
    <row r="1" spans="1:10" x14ac:dyDescent="0.25">
      <c r="A1" s="6"/>
      <c r="B1" s="6"/>
      <c r="C1" s="6"/>
      <c r="E1" s="11"/>
      <c r="F1" s="11"/>
      <c r="G1" s="11"/>
    </row>
    <row r="2" spans="1:10" x14ac:dyDescent="0.25">
      <c r="A2" s="23" t="s">
        <v>178</v>
      </c>
      <c r="B2" s="23"/>
      <c r="C2" s="23"/>
      <c r="E2" s="24" t="s">
        <v>190</v>
      </c>
      <c r="F2" s="24"/>
      <c r="G2" s="24"/>
    </row>
    <row r="3" spans="1:10" x14ac:dyDescent="0.25">
      <c r="A3" s="23"/>
      <c r="B3" s="23"/>
      <c r="C3" s="23"/>
      <c r="E3" s="24"/>
      <c r="F3" s="24"/>
      <c r="G3" s="24"/>
    </row>
    <row r="4" spans="1:10" x14ac:dyDescent="0.25">
      <c r="A4" s="6"/>
      <c r="B4" s="6"/>
      <c r="C4" s="6"/>
      <c r="E4" s="11"/>
      <c r="F4" s="11"/>
      <c r="G4" s="11"/>
    </row>
    <row r="5" spans="1:10" x14ac:dyDescent="0.25">
      <c r="A5" s="6" t="s">
        <v>175</v>
      </c>
      <c r="B5" s="7" t="s">
        <v>26</v>
      </c>
      <c r="C5" s="6"/>
      <c r="E5" s="11"/>
      <c r="F5" s="11"/>
      <c r="G5" s="11"/>
    </row>
    <row r="6" spans="1:10" ht="19.5" x14ac:dyDescent="0.3">
      <c r="A6" s="6"/>
      <c r="B6" s="6"/>
      <c r="C6" s="6"/>
      <c r="E6" s="15" t="s">
        <v>179</v>
      </c>
      <c r="F6" s="15" t="s">
        <v>180</v>
      </c>
      <c r="G6" s="15" t="s">
        <v>181</v>
      </c>
    </row>
    <row r="7" spans="1:10" ht="19.5" x14ac:dyDescent="0.3">
      <c r="A7" s="8" t="s">
        <v>9</v>
      </c>
      <c r="B7" s="9" t="str" cm="1">
        <f t="array" aca="1" ref="B7:B15" ca="1">TRANSPOSE((_xlfn.XLOOKUP(B5,Employees!A2:A53,Employees!A2:I53,"",0,1)))</f>
        <v>E1002</v>
      </c>
      <c r="C7" s="6"/>
      <c r="E7" s="12" t="str" cm="1">
        <f t="array" ref="E7:E13">_xlfn.UNIQUE(_xlfn._xlws.FILTER(Table2[Department],Table2[Department]&lt;&gt;""))</f>
        <v>Marketing</v>
      </c>
      <c r="F7" s="13">
        <f>AVERAGEIF(Table2[Department],E7,Table2[Salary (£)])</f>
        <v>46025.5</v>
      </c>
      <c r="G7" s="14">
        <f>AVERAGEIF(Table2[Department],E7,Table2[Performance Score])</f>
        <v>3.5333333333333328</v>
      </c>
      <c r="J7" t="s">
        <v>19</v>
      </c>
    </row>
    <row r="8" spans="1:10" ht="19.5" x14ac:dyDescent="0.3">
      <c r="A8" s="8" t="s">
        <v>10</v>
      </c>
      <c r="B8" s="9" t="str">
        <f ca="1"/>
        <v>Daniel Johnson</v>
      </c>
      <c r="C8" s="6"/>
      <c r="E8" s="12" t="str">
        <v>HR</v>
      </c>
      <c r="F8" s="13">
        <f>AVERAGEIF(Table2[Department],E8,Table2[Salary (£)])</f>
        <v>55967.166666666664</v>
      </c>
      <c r="G8" s="14">
        <f>AVERAGEIF(Table2[Department],E8,Table2[Performance Score])</f>
        <v>4.1166666666666671</v>
      </c>
      <c r="J8" t="s">
        <v>24</v>
      </c>
    </row>
    <row r="9" spans="1:10" ht="19.5" x14ac:dyDescent="0.3">
      <c r="A9" s="8" t="s">
        <v>11</v>
      </c>
      <c r="B9" s="9" t="str">
        <f ca="1"/>
        <v>Customer Support</v>
      </c>
      <c r="C9" s="6"/>
      <c r="E9" s="12" t="str">
        <v>Customer Support</v>
      </c>
      <c r="F9" s="13">
        <f>AVERAGEIF(Table2[Department],E9,Table2[Salary (£)])</f>
        <v>39716.818181818184</v>
      </c>
      <c r="G9" s="14">
        <f>AVERAGEIF(Table2[Department],E9,Table2[Performance Score])</f>
        <v>3.7363636363636363</v>
      </c>
      <c r="J9" t="s">
        <v>28</v>
      </c>
    </row>
    <row r="10" spans="1:10" ht="19.5" x14ac:dyDescent="0.3">
      <c r="A10" s="8" t="s">
        <v>12</v>
      </c>
      <c r="B10" s="9" t="str">
        <f ca="1"/>
        <v>Executive</v>
      </c>
      <c r="C10" s="6"/>
      <c r="E10" s="12" t="str">
        <v>Finance</v>
      </c>
      <c r="F10" s="13">
        <f>AVERAGEIF(Table2[Department],E10,Table2[Salary (£)])</f>
        <v>44019.285714285717</v>
      </c>
      <c r="G10" s="14">
        <f>AVERAGEIF(Table2[Department],E10,Table2[Performance Score])</f>
        <v>3.5857142857142859</v>
      </c>
      <c r="J10" t="s">
        <v>37</v>
      </c>
    </row>
    <row r="11" spans="1:10" ht="19.5" x14ac:dyDescent="0.3">
      <c r="A11" s="8" t="s">
        <v>176</v>
      </c>
      <c r="B11" s="9">
        <f ca="1"/>
        <v>28090</v>
      </c>
      <c r="C11" s="6"/>
      <c r="E11" s="12" t="str">
        <v>Sales</v>
      </c>
      <c r="F11" s="13">
        <f>AVERAGEIF(Table2[Department],E11,Table2[Salary (£)])</f>
        <v>42148.666666666664</v>
      </c>
      <c r="G11" s="14">
        <f>AVERAGEIF(Table2[Department],E11,Table2[Performance Score])</f>
        <v>4.1555555555555559</v>
      </c>
      <c r="J11" t="s">
        <v>45</v>
      </c>
    </row>
    <row r="12" spans="1:10" ht="19.5" x14ac:dyDescent="0.3">
      <c r="A12" s="8" t="s">
        <v>14</v>
      </c>
      <c r="B12" s="9" t="str">
        <f ca="1"/>
        <v>07/10/2016</v>
      </c>
      <c r="C12" s="6"/>
      <c r="E12" s="12" t="str">
        <v>Operations</v>
      </c>
      <c r="F12" s="13">
        <f>AVERAGEIF(Table2[Department],E12,Table2[Salary (£)])</f>
        <v>41385.75</v>
      </c>
      <c r="G12" s="14">
        <f>AVERAGEIF(Table2[Department],E12,Table2[Performance Score])</f>
        <v>3.6749999999999998</v>
      </c>
      <c r="J12" t="s">
        <v>62</v>
      </c>
    </row>
    <row r="13" spans="1:10" ht="19.5" x14ac:dyDescent="0.3">
      <c r="A13" s="8" t="s">
        <v>191</v>
      </c>
      <c r="B13" s="9">
        <f ca="1"/>
        <v>2383</v>
      </c>
      <c r="C13" s="6"/>
      <c r="E13" s="12" t="str">
        <v>IT</v>
      </c>
      <c r="F13" s="13">
        <f>AVERAGEIF(Table2[Department],E13,Table2[Salary (£)])</f>
        <v>34377</v>
      </c>
      <c r="G13" s="14">
        <f>AVERAGEIF(Table2[Department],E13,Table2[Performance Score])</f>
        <v>4.5333333333333332</v>
      </c>
      <c r="J13" t="s">
        <v>86</v>
      </c>
    </row>
    <row r="14" spans="1:10" ht="19.5" x14ac:dyDescent="0.3">
      <c r="A14" s="8" t="s">
        <v>16</v>
      </c>
      <c r="B14" s="9">
        <f ca="1"/>
        <v>206</v>
      </c>
      <c r="C14" s="6"/>
      <c r="E14" s="11"/>
      <c r="F14" s="11"/>
      <c r="G14" s="11"/>
    </row>
    <row r="15" spans="1:10" x14ac:dyDescent="0.25">
      <c r="A15" s="6"/>
      <c r="B15" s="6">
        <f ca="1"/>
        <v>4.9000000000000004</v>
      </c>
      <c r="C15" s="6"/>
      <c r="E15" s="11"/>
      <c r="F15" s="11"/>
      <c r="G15" s="11"/>
    </row>
    <row r="16" spans="1:10" x14ac:dyDescent="0.25">
      <c r="A16" s="6"/>
      <c r="B16" s="6"/>
      <c r="C16" s="6"/>
      <c r="E16" s="11"/>
      <c r="F16" s="11"/>
      <c r="G16" s="11"/>
    </row>
  </sheetData>
  <mergeCells count="2">
    <mergeCell ref="A2:C3"/>
    <mergeCell ref="E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Employee Pivut</vt:lpstr>
      <vt:lpstr>Dashboard</vt:lpstr>
      <vt:lpstr>Sheet2</vt:lpstr>
      <vt:lpstr>New Dashboard</vt:lpstr>
      <vt:lpstr>Employees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hashsham.abid1992@outlook.com</cp:lastModifiedBy>
  <dcterms:created xsi:type="dcterms:W3CDTF">2025-10-15T14:55:09Z</dcterms:created>
  <dcterms:modified xsi:type="dcterms:W3CDTF">2025-11-25T23:13:01Z</dcterms:modified>
</cp:coreProperties>
</file>