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Excel_Intermediate_Practice_Pack_UK\"/>
    </mc:Choice>
  </mc:AlternateContent>
  <xr:revisionPtr revIDLastSave="0" documentId="13_ncr:1_{C52DFBF7-ABCD-465C-B4DA-02AAB1CE2E93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Instructions" sheetId="1" r:id="rId1"/>
    <sheet name="DirtyData" sheetId="2" r:id="rId2"/>
    <sheet name="Clean Data with Powe Query" sheetId="4" r:id="rId3"/>
    <sheet name="Clean Data Manually" sheetId="6" r:id="rId4"/>
    <sheet name="Summary" sheetId="9" r:id="rId5"/>
    <sheet name="Documentation" sheetId="10" r:id="rId6"/>
  </sheets>
  <definedNames>
    <definedName name="ExternalData_1" localSheetId="2" hidden="1">'Clean Data with Powe Query'!$A$1:$E$58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9" l="1"/>
  <c r="D9" i="9"/>
  <c r="D8" i="9"/>
  <c r="D7" i="9"/>
  <c r="D6" i="9"/>
  <c r="D5" i="9"/>
  <c r="D4" i="9"/>
  <c r="D3" i="9"/>
  <c r="D2" i="9"/>
  <c r="D11" i="9"/>
  <c r="C10" i="9"/>
  <c r="C9" i="9"/>
  <c r="C8" i="9"/>
  <c r="C7" i="9"/>
  <c r="C6" i="9"/>
  <c r="C5" i="9"/>
  <c r="C4" i="9"/>
  <c r="C3" i="9"/>
  <c r="C2" i="9"/>
  <c r="C11" i="9"/>
  <c r="B10" i="9"/>
  <c r="B9" i="9"/>
  <c r="B8" i="9"/>
  <c r="B7" i="9"/>
  <c r="B6" i="9"/>
  <c r="B5" i="9"/>
  <c r="B4" i="9"/>
  <c r="B3" i="9"/>
  <c r="B2" i="9"/>
  <c r="B1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EBB108-0252-4B81-B654-70A50C18630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<sst xmlns="http://schemas.openxmlformats.org/spreadsheetml/2006/main" count="641" uniqueCount="199">
  <si>
    <t>Instructions</t>
  </si>
  <si>
    <t>Data_Cleaning_Practice.xlsx - Instructions</t>
  </si>
  <si>
    <t>Sheets:</t>
  </si>
  <si>
    <t xml:space="preserve"> - DirtyData: Messy customer orders with inconsistent names, date formats, duplicates, and missing values.</t>
  </si>
  <si>
    <t>Suggested tasks:</t>
  </si>
  <si>
    <t xml:space="preserve"> - Normalize customer names (trim, proper case), fix emails and remove duplicates.</t>
  </si>
  <si>
    <t xml:space="preserve"> - Convert Order Date into consistent DD/MM/YYYY format (use Power Query or DATEVALUE + TEXT).</t>
  </si>
  <si>
    <t xml:space="preserve"> - Fill missing Order Value where possible or flag them.</t>
  </si>
  <si>
    <t xml:space="preserve"> - Produce a cleaned master table and a summary of total orders per customer.</t>
  </si>
  <si>
    <t>Customer ID</t>
  </si>
  <si>
    <t>Customer Name</t>
  </si>
  <si>
    <t>Email</t>
  </si>
  <si>
    <t>Order Date</t>
  </si>
  <si>
    <t>Order Value (£)</t>
  </si>
  <si>
    <t>C1000</t>
  </si>
  <si>
    <t>Katie    lee</t>
  </si>
  <si>
    <t>katie.lee@example.co.uk</t>
  </si>
  <si>
    <t>2024-04-20</t>
  </si>
  <si>
    <t>C1001</t>
  </si>
  <si>
    <t>Isabel Oconnor</t>
  </si>
  <si>
    <t>isabel.oconnor@example.co.uk</t>
  </si>
  <si>
    <t>2024-10-01</t>
  </si>
  <si>
    <t>C1002</t>
  </si>
  <si>
    <t>G.  Harris</t>
  </si>
  <si>
    <t>gharris@example.co.uk</t>
  </si>
  <si>
    <t>19-Aug-2024</t>
  </si>
  <si>
    <t>C1003</t>
  </si>
  <si>
    <t>Katie  lee</t>
  </si>
  <si>
    <t>12-Sep-2024</t>
  </si>
  <si>
    <t>C1004</t>
  </si>
  <si>
    <t>bob taylor</t>
  </si>
  <si>
    <t>bob.taylor@example.co.uk</t>
  </si>
  <si>
    <t>2024-09-28</t>
  </si>
  <si>
    <t>C1005</t>
  </si>
  <si>
    <t>19-Dec-2024</t>
  </si>
  <si>
    <t>C1006</t>
  </si>
  <si>
    <t>06-Oct-2024</t>
  </si>
  <si>
    <t>C1007</t>
  </si>
  <si>
    <t>Fiona-lee</t>
  </si>
  <si>
    <t>fiona@example.co.uk</t>
  </si>
  <si>
    <t>2024-01-06</t>
  </si>
  <si>
    <t>C1008</t>
  </si>
  <si>
    <t>Ethan  Smith</t>
  </si>
  <si>
    <t>2024-09-06</t>
  </si>
  <si>
    <t>C1009</t>
  </si>
  <si>
    <t>DEBORAH O'NEIL</t>
  </si>
  <si>
    <t>deborah.oneil@example.co.uk</t>
  </si>
  <si>
    <t>28-Apr-2024</t>
  </si>
  <si>
    <t>C1010</t>
  </si>
  <si>
    <t>Jack O'Brien</t>
  </si>
  <si>
    <t>jackobrien@example.co.uk</t>
  </si>
  <si>
    <t>27-May-2024</t>
  </si>
  <si>
    <t>C1011</t>
  </si>
  <si>
    <t>01/06/2024</t>
  </si>
  <si>
    <t>C1012</t>
  </si>
  <si>
    <t>G. Harris</t>
  </si>
  <si>
    <t>12-Oct-2024</t>
  </si>
  <si>
    <t>C1013</t>
  </si>
  <si>
    <t>2024-04-27</t>
  </si>
  <si>
    <t>C1014</t>
  </si>
  <si>
    <t>24/08/2024</t>
  </si>
  <si>
    <t>C1015</t>
  </si>
  <si>
    <t>ALICE GREEN</t>
  </si>
  <si>
    <t>alice.green@example.co.uk</t>
  </si>
  <si>
    <t>23/06/2024</t>
  </si>
  <si>
    <t>C1016</t>
  </si>
  <si>
    <t>ETHAN  SMITH</t>
  </si>
  <si>
    <t>09-Aug-2024</t>
  </si>
  <si>
    <t>C1017</t>
  </si>
  <si>
    <t>13/01/2024</t>
  </si>
  <si>
    <t>C1018</t>
  </si>
  <si>
    <t>14/06/2024</t>
  </si>
  <si>
    <t>C1019</t>
  </si>
  <si>
    <t>Alice Green</t>
  </si>
  <si>
    <t>2024-11-10</t>
  </si>
  <si>
    <t>C1020</t>
  </si>
  <si>
    <t>20/06/2024</t>
  </si>
  <si>
    <t>C1021</t>
  </si>
  <si>
    <t>Deborah O'Neil</t>
  </si>
  <si>
    <t>2024-02-05</t>
  </si>
  <si>
    <t>C1022</t>
  </si>
  <si>
    <t>KATIE  LEE</t>
  </si>
  <si>
    <t>06/11/2024</t>
  </si>
  <si>
    <t>C1023</t>
  </si>
  <si>
    <t>16/08/2024</t>
  </si>
  <si>
    <t>C1024</t>
  </si>
  <si>
    <t>2024-06-18</t>
  </si>
  <si>
    <t>C1025</t>
  </si>
  <si>
    <t>FIONA-LEE</t>
  </si>
  <si>
    <t>2024-02-17</t>
  </si>
  <si>
    <t>C1026</t>
  </si>
  <si>
    <t>2024-01-12</t>
  </si>
  <si>
    <t>C1027</t>
  </si>
  <si>
    <t>25/06/2024</t>
  </si>
  <si>
    <t>C1028</t>
  </si>
  <si>
    <t>2024-06-19</t>
  </si>
  <si>
    <t>C1029</t>
  </si>
  <si>
    <t>2024-06-08</t>
  </si>
  <si>
    <t>C1030</t>
  </si>
  <si>
    <t>07/12/2024</t>
  </si>
  <si>
    <t>C1031</t>
  </si>
  <si>
    <t>charles KING</t>
  </si>
  <si>
    <t>charles.king@example.co.uk</t>
  </si>
  <si>
    <t>06-Sep-2024</t>
  </si>
  <si>
    <t>C1032</t>
  </si>
  <si>
    <t>ISABEL OCONNOR</t>
  </si>
  <si>
    <t>11-Mar-2024</t>
  </si>
  <si>
    <t>C1033</t>
  </si>
  <si>
    <t>24/06/2024</t>
  </si>
  <si>
    <t>C1034</t>
  </si>
  <si>
    <t>16/11/2024</t>
  </si>
  <si>
    <t>C1035</t>
  </si>
  <si>
    <t>19/07/2024</t>
  </si>
  <si>
    <t>C1036</t>
  </si>
  <si>
    <t xml:space="preserve">  charles KING</t>
  </si>
  <si>
    <t>2024-11-26</t>
  </si>
  <si>
    <t>C1037</t>
  </si>
  <si>
    <t>02-Feb-2024</t>
  </si>
  <si>
    <t>C1038</t>
  </si>
  <si>
    <t>11/12/2024</t>
  </si>
  <si>
    <t>C1039</t>
  </si>
  <si>
    <t>09-Jul-2024</t>
  </si>
  <si>
    <t>C1040</t>
  </si>
  <si>
    <t>2024-09-12</t>
  </si>
  <si>
    <t>C1041</t>
  </si>
  <si>
    <t>JACK O'BRIEN</t>
  </si>
  <si>
    <t>02/10/2024</t>
  </si>
  <si>
    <t>C1042</t>
  </si>
  <si>
    <t>27/02/2024</t>
  </si>
  <si>
    <t>C1043</t>
  </si>
  <si>
    <t>2024-10-17</t>
  </si>
  <si>
    <t>C1044</t>
  </si>
  <si>
    <t>25/08/2024</t>
  </si>
  <si>
    <t>C1045</t>
  </si>
  <si>
    <t>BOB TAYLOR</t>
  </si>
  <si>
    <t>bob.taylor@example.com</t>
  </si>
  <si>
    <t>2024-09-17</t>
  </si>
  <si>
    <t>C1046</t>
  </si>
  <si>
    <t>bob  taylor</t>
  </si>
  <si>
    <t>2024-09-03</t>
  </si>
  <si>
    <t>C1047</t>
  </si>
  <si>
    <t>C1048</t>
  </si>
  <si>
    <t>14-Jul-2024</t>
  </si>
  <si>
    <t>C1049</t>
  </si>
  <si>
    <t>fiona@example.com</t>
  </si>
  <si>
    <t>15-Dec-2024</t>
  </si>
  <si>
    <t>C1050</t>
  </si>
  <si>
    <t>19/02/2024</t>
  </si>
  <si>
    <t>C1051</t>
  </si>
  <si>
    <t>2024-03-21</t>
  </si>
  <si>
    <t>C1052</t>
  </si>
  <si>
    <t>28-Feb-2024</t>
  </si>
  <si>
    <t>C1053</t>
  </si>
  <si>
    <t>11-Feb-2024</t>
  </si>
  <si>
    <t>C1054</t>
  </si>
  <si>
    <t>G. HARRIS</t>
  </si>
  <si>
    <t>17-Jun-2024</t>
  </si>
  <si>
    <t>C1055</t>
  </si>
  <si>
    <t>deborah.oneil@example.com</t>
  </si>
  <si>
    <t>C1056</t>
  </si>
  <si>
    <t>08/11/2024</t>
  </si>
  <si>
    <t>C1057</t>
  </si>
  <si>
    <t>2024-02-04</t>
  </si>
  <si>
    <t>C1058</t>
  </si>
  <si>
    <t>C1059</t>
  </si>
  <si>
    <t>C2000</t>
  </si>
  <si>
    <t>01/05/2024</t>
  </si>
  <si>
    <t>C2001</t>
  </si>
  <si>
    <t>alice green</t>
  </si>
  <si>
    <t>2024-05-01</t>
  </si>
  <si>
    <t>Katie    Lee</t>
  </si>
  <si>
    <t>Katie  Lee</t>
  </si>
  <si>
    <t>Bob Taylor</t>
  </si>
  <si>
    <t>Fiona Lee</t>
  </si>
  <si>
    <t>ethan@example.co.uk</t>
  </si>
  <si>
    <t>Charles King</t>
  </si>
  <si>
    <t>Bob  Taylor</t>
  </si>
  <si>
    <t>Ethan Smith</t>
  </si>
  <si>
    <t>Fiona-Lee</t>
  </si>
  <si>
    <t>Katie Lee</t>
  </si>
  <si>
    <t>ethan.smith@example.co.uk</t>
  </si>
  <si>
    <t>Total Order</t>
  </si>
  <si>
    <t>Total Value</t>
  </si>
  <si>
    <t>Issue</t>
  </si>
  <si>
    <t>Before</t>
  </si>
  <si>
    <t>After</t>
  </si>
  <si>
    <t>Name Spacing</t>
  </si>
  <si>
    <t>Text Currency</t>
  </si>
  <si>
    <t>Text Date</t>
  </si>
  <si>
    <t>Email Format</t>
  </si>
  <si>
    <t>Dublicate Rows</t>
  </si>
  <si>
    <t>Customer ID outlier</t>
  </si>
  <si>
    <t>Katie   Lee</t>
  </si>
  <si>
    <t>Katie.LEE@Example.cO.Uk</t>
  </si>
  <si>
    <t>Bob Taylor (2x)</t>
  </si>
  <si>
    <t>C2000, C2001</t>
  </si>
  <si>
    <t>Katie.lee@example.co.uk</t>
  </si>
  <si>
    <t>Bob Taylor (Unique)</t>
  </si>
  <si>
    <t>Standardize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</si>
</sst>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164" formatCode="\£#,##0.00"/>
    <numFmt numFmtId="165" formatCode="[$-14C09]dd/mm/yyyy;@"/>
    <numFmt numFmtId="166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8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0" fillId="2" borderId="0" xfId="0" applyFill="1" applyAlignment="1"/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numFmt numFmtId="166" formatCode="&quot;£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&quot;£&quot;#,##0.00"/>
      <alignment horizontal="center" vertical="bottom" textRotation="0" wrapText="0" indent="0" justifyLastLine="0" shrinkToFit="0" readingOrder="0"/>
    </dxf>
    <dxf>
      <numFmt numFmtId="165" formatCode="[$-14C09]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FA33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12</xdr:col>
      <xdr:colOff>28574</xdr:colOff>
      <xdr:row>2</xdr:row>
      <xdr:rowOff>19051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4DBA9DA-4442-D962-2EE4-C036130B9FD7}"/>
            </a:ext>
          </a:extLst>
        </xdr:cNvPr>
        <xdr:cNvSpPr/>
      </xdr:nvSpPr>
      <xdr:spPr>
        <a:xfrm>
          <a:off x="0" y="1"/>
          <a:ext cx="7343774" cy="4000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>
              <a:solidFill>
                <a:schemeClr val="tx1">
                  <a:lumMod val="65000"/>
                  <a:lumOff val="35000"/>
                </a:schemeClr>
              </a:solidFill>
            </a:rPr>
            <a:t>DATA</a:t>
          </a:r>
          <a:r>
            <a:rPr lang="en-GB" sz="2400" baseline="0">
              <a:solidFill>
                <a:schemeClr val="tx1">
                  <a:lumMod val="65000"/>
                  <a:lumOff val="35000"/>
                </a:schemeClr>
              </a:solidFill>
            </a:rPr>
            <a:t> CLEARNING DOCUMENTATION</a:t>
          </a:r>
          <a:endParaRPr lang="en-GB" sz="24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257175</xdr:colOff>
      <xdr:row>0</xdr:row>
      <xdr:rowOff>0</xdr:rowOff>
    </xdr:from>
    <xdr:to>
      <xdr:col>2</xdr:col>
      <xdr:colOff>0</xdr:colOff>
      <xdr:row>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BE7F86-93A5-3233-7EE1-75A19D69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6775" y="0"/>
          <a:ext cx="352425" cy="3524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12</xdr:col>
      <xdr:colOff>19050</xdr:colOff>
      <xdr:row>7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DB6684-8FB2-C30C-8A84-8ECAB2E0168D}"/>
            </a:ext>
          </a:extLst>
        </xdr:cNvPr>
        <xdr:cNvSpPr/>
      </xdr:nvSpPr>
      <xdr:spPr>
        <a:xfrm>
          <a:off x="0" y="400050"/>
          <a:ext cx="7334250" cy="1019175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u="sng"/>
            <a:t>PROJECT</a:t>
          </a:r>
          <a:r>
            <a:rPr lang="en-GB" sz="1400" u="sng" baseline="0"/>
            <a:t> SUMMARY</a:t>
          </a:r>
          <a:endParaRPr lang="en-GB" sz="1400" u="sng"/>
        </a:p>
        <a:p>
          <a:pPr algn="l"/>
          <a:r>
            <a:rPr lang="en-GB" sz="1200"/>
            <a:t>This project involved cleaning a raw customer orders dataset containing formatting inconsistencies, duplicated rows, incorrect data types, and irregular name/email structures. Both Power Query and manual cleaning methods were used to produce a clean, reliable table suitable for analysis and reporting</a:t>
          </a:r>
        </a:p>
      </xdr:txBody>
    </xdr:sp>
    <xdr:clientData/>
  </xdr:twoCellAnchor>
  <xdr:twoCellAnchor>
    <xdr:from>
      <xdr:col>0</xdr:col>
      <xdr:colOff>0</xdr:colOff>
      <xdr:row>7</xdr:row>
      <xdr:rowOff>76201</xdr:rowOff>
    </xdr:from>
    <xdr:to>
      <xdr:col>12</xdr:col>
      <xdr:colOff>19050</xdr:colOff>
      <xdr:row>18</xdr:row>
      <xdr:rowOff>28575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50C0D43-4FC5-CE2F-87F0-DCA2E5AB9B52}"/>
            </a:ext>
          </a:extLst>
        </xdr:cNvPr>
        <xdr:cNvSpPr/>
      </xdr:nvSpPr>
      <xdr:spPr>
        <a:xfrm>
          <a:off x="0" y="1409701"/>
          <a:ext cx="7334250" cy="2047874"/>
        </a:xfrm>
        <a:prstGeom prst="rect">
          <a:avLst/>
        </a:prstGeom>
        <a:solidFill>
          <a:srgbClr val="FA331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u="sng"/>
            <a:t>ISSUES IDENTIFY</a:t>
          </a:r>
          <a:r>
            <a:rPr lang="en-GB" sz="1400" u="sng" baseline="0"/>
            <a:t> IN RAW DATA</a:t>
          </a:r>
          <a:endParaRPr lang="en-GB" sz="1400" u="sng"/>
        </a:p>
        <a:p>
          <a:endParaRPr lang="en-GB" sz="1200"/>
        </a:p>
        <a:p>
          <a:r>
            <a:rPr lang="en-GB" sz="1200"/>
            <a:t>• Extra spaces in names (“Katie Lee”, “Deborah O’Neil”)</a:t>
          </a:r>
        </a:p>
        <a:p>
          <a:r>
            <a:rPr lang="en-GB" sz="1200"/>
            <a:t>• Inconsistent capitalization in names</a:t>
          </a:r>
        </a:p>
        <a:p>
          <a:r>
            <a:rPr lang="en-GB" sz="1200"/>
            <a:t>• Text-stored Order Values because of “£” symbol</a:t>
          </a:r>
        </a:p>
        <a:p>
          <a:r>
            <a:rPr lang="en-GB" sz="1200"/>
            <a:t>• Order Dates stored as text</a:t>
          </a:r>
        </a:p>
        <a:p>
          <a:r>
            <a:rPr lang="en-GB" sz="1200"/>
            <a:t>• Duplicate customer transactions</a:t>
          </a:r>
        </a:p>
        <a:p>
          <a:r>
            <a:rPr lang="en-GB" sz="1200"/>
            <a:t>• Irregular Customer IDs (C2000/C2001 separate)</a:t>
          </a:r>
        </a:p>
        <a:p>
          <a:r>
            <a:rPr lang="en-GB" sz="1200"/>
            <a:t>• Emails in inconsistent formats</a:t>
          </a:r>
        </a:p>
        <a:p>
          <a:r>
            <a:rPr lang="en-GB" sz="1200"/>
            <a:t>• Blank or malformed rows</a:t>
          </a:r>
        </a:p>
        <a:p>
          <a:pPr lvl="0"/>
          <a:endParaRPr lang="en-GB"/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18</xdr:row>
      <xdr:rowOff>28576</xdr:rowOff>
    </xdr:from>
    <xdr:to>
      <xdr:col>12</xdr:col>
      <xdr:colOff>0</xdr:colOff>
      <xdr:row>33</xdr:row>
      <xdr:rowOff>28576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4D9E1E7-0A19-B8E9-95BD-F2C803E26E48}"/>
            </a:ext>
          </a:extLst>
        </xdr:cNvPr>
        <xdr:cNvSpPr/>
      </xdr:nvSpPr>
      <xdr:spPr>
        <a:xfrm>
          <a:off x="0" y="3457576"/>
          <a:ext cx="7315200" cy="28575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252413</xdr:colOff>
      <xdr:row>18</xdr:row>
      <xdr:rowOff>57150</xdr:rowOff>
    </xdr:from>
    <xdr:to>
      <xdr:col>8</xdr:col>
      <xdr:colOff>357188</xdr:colOff>
      <xdr:row>20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064C8D9-1E92-D655-3674-6910A4E7F221}"/>
            </a:ext>
          </a:extLst>
        </xdr:cNvPr>
        <xdr:cNvSpPr txBox="1"/>
      </xdr:nvSpPr>
      <xdr:spPr>
        <a:xfrm>
          <a:off x="2081213" y="3486150"/>
          <a:ext cx="31527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800">
              <a:solidFill>
                <a:schemeClr val="bg1"/>
              </a:solidFill>
            </a:rPr>
            <a:t>CLEANING</a:t>
          </a:r>
          <a:r>
            <a:rPr lang="en-GB" sz="1800" baseline="0">
              <a:solidFill>
                <a:schemeClr val="bg1"/>
              </a:solidFill>
            </a:rPr>
            <a:t> STEPS PERFORMED</a:t>
          </a:r>
          <a:endParaRPr lang="en-GB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85725</xdr:colOff>
      <xdr:row>20</xdr:row>
      <xdr:rowOff>57150</xdr:rowOff>
    </xdr:from>
    <xdr:to>
      <xdr:col>5</xdr:col>
      <xdr:colOff>561975</xdr:colOff>
      <xdr:row>32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214712-8D0F-DF54-4473-554A8A43A6CE}"/>
            </a:ext>
          </a:extLst>
        </xdr:cNvPr>
        <xdr:cNvSpPr txBox="1"/>
      </xdr:nvSpPr>
      <xdr:spPr>
        <a:xfrm>
          <a:off x="85725" y="3867150"/>
          <a:ext cx="3524250" cy="2362200"/>
        </a:xfrm>
        <a:prstGeom prst="rect">
          <a:avLst/>
        </a:prstGeom>
        <a:noFill/>
        <a:ln w="9525" cmpd="sng">
          <a:solidFill>
            <a:schemeClr val="tx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/>
        </a:p>
        <a:p>
          <a:r>
            <a:rPr lang="en-GB" sz="1400" b="1">
              <a:solidFill>
                <a:schemeClr val="bg1"/>
              </a:solidFill>
            </a:rPr>
            <a:t>POWER</a:t>
          </a:r>
          <a:r>
            <a:rPr lang="en-GB" sz="1400" b="1" baseline="0">
              <a:solidFill>
                <a:schemeClr val="bg1"/>
              </a:solidFill>
            </a:rPr>
            <a:t> QUERY STEPS :</a:t>
          </a:r>
        </a:p>
        <a:p>
          <a:endParaRPr lang="en-GB"/>
        </a:p>
        <a:p>
          <a:r>
            <a:rPr lang="en-GB" sz="1200">
              <a:solidFill>
                <a:schemeClr val="bg1"/>
              </a:solidFill>
            </a:rPr>
            <a:t>• Extra spaces in names (“Katie Lee”, “Deborah O’Neil”)</a:t>
          </a:r>
        </a:p>
        <a:p>
          <a:r>
            <a:rPr lang="en-GB" sz="1200">
              <a:solidFill>
                <a:schemeClr val="bg1"/>
              </a:solidFill>
            </a:rPr>
            <a:t>• Inconsistent capitalization in names</a:t>
          </a:r>
        </a:p>
        <a:p>
          <a:r>
            <a:rPr lang="en-GB" sz="1200">
              <a:solidFill>
                <a:schemeClr val="bg1"/>
              </a:solidFill>
            </a:rPr>
            <a:t>• Text-stored Order Values because of “£” symbol</a:t>
          </a:r>
        </a:p>
        <a:p>
          <a:r>
            <a:rPr lang="en-GB" sz="1200">
              <a:solidFill>
                <a:schemeClr val="bg1"/>
              </a:solidFill>
            </a:rPr>
            <a:t>• Order Dates stored as text</a:t>
          </a:r>
        </a:p>
        <a:p>
          <a:r>
            <a:rPr lang="en-GB" sz="1200">
              <a:solidFill>
                <a:schemeClr val="bg1"/>
              </a:solidFill>
            </a:rPr>
            <a:t>• Duplicate customer transactions</a:t>
          </a:r>
        </a:p>
        <a:p>
          <a:r>
            <a:rPr lang="en-GB" sz="1200">
              <a:solidFill>
                <a:schemeClr val="bg1"/>
              </a:solidFill>
            </a:rPr>
            <a:t>• Irregular Customer IDs (C2000/C2001 separate)</a:t>
          </a:r>
        </a:p>
        <a:p>
          <a:r>
            <a:rPr lang="en-GB" sz="1200">
              <a:solidFill>
                <a:schemeClr val="bg1"/>
              </a:solidFill>
            </a:rPr>
            <a:t>• Emails in inconsistent formats</a:t>
          </a:r>
        </a:p>
        <a:p>
          <a:r>
            <a:rPr lang="en-GB" sz="1200">
              <a:solidFill>
                <a:schemeClr val="bg1"/>
              </a:solidFill>
            </a:rPr>
            <a:t>• Blank or malformed rows</a:t>
          </a:r>
        </a:p>
        <a:p>
          <a:endParaRPr lang="en-GB" sz="1100"/>
        </a:p>
      </xdr:txBody>
    </xdr:sp>
    <xdr:clientData/>
  </xdr:twoCellAnchor>
  <xdr:twoCellAnchor>
    <xdr:from>
      <xdr:col>6</xdr:col>
      <xdr:colOff>38100</xdr:colOff>
      <xdr:row>20</xdr:row>
      <xdr:rowOff>57151</xdr:rowOff>
    </xdr:from>
    <xdr:to>
      <xdr:col>11</xdr:col>
      <xdr:colOff>514350</xdr:colOff>
      <xdr:row>32</xdr:row>
      <xdr:rowOff>133351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48AF35-F2CA-EE28-4D29-8EEAAF83A0DE}"/>
            </a:ext>
          </a:extLst>
        </xdr:cNvPr>
        <xdr:cNvSpPr txBox="1"/>
      </xdr:nvSpPr>
      <xdr:spPr>
        <a:xfrm>
          <a:off x="3695700" y="3867151"/>
          <a:ext cx="3524250" cy="2362200"/>
        </a:xfrm>
        <a:prstGeom prst="rect">
          <a:avLst/>
        </a:prstGeom>
        <a:noFill/>
        <a:ln w="9525" cmpd="sng">
          <a:solidFill>
            <a:schemeClr val="tx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/>
        </a:p>
        <a:p>
          <a:r>
            <a:rPr lang="en-GB" sz="1400" b="1">
              <a:solidFill>
                <a:schemeClr val="bg1"/>
              </a:solidFill>
            </a:rPr>
            <a:t>MANUAL CLEANING STEPS</a:t>
          </a:r>
          <a:r>
            <a:rPr lang="en-GB" sz="1400" b="1" baseline="0">
              <a:solidFill>
                <a:schemeClr val="bg1"/>
              </a:solidFill>
            </a:rPr>
            <a:t>:</a:t>
          </a:r>
        </a:p>
        <a:p>
          <a:endParaRPr lang="en-GB"/>
        </a:p>
        <a:p>
          <a:r>
            <a:rPr lang="en-GB" sz="1200">
              <a:solidFill>
                <a:schemeClr val="bg1"/>
              </a:solidFill>
            </a:rPr>
            <a:t>• Verified Power Query results</a:t>
          </a:r>
        </a:p>
        <a:p>
          <a:r>
            <a:rPr lang="en-GB" sz="1200">
              <a:solidFill>
                <a:schemeClr val="bg1"/>
              </a:solidFill>
            </a:rPr>
            <a:t>• Corrected </a:t>
          </a:r>
          <a:r>
            <a:rPr lang="en-GB" sz="1200">
              <a:solidFill>
                <a:schemeClr val="bg1"/>
              </a:solidFill>
              <a:latin typeface="+mn-lt"/>
              <a:ea typeface="+mn-ea"/>
              <a:cs typeface="+mn-cs"/>
            </a:rPr>
            <a:t>remaining</a:t>
          </a:r>
          <a:r>
            <a:rPr lang="en-GB" sz="1200">
              <a:solidFill>
                <a:schemeClr val="bg1"/>
              </a:solidFill>
            </a:rPr>
            <a:t> name inconsistencies</a:t>
          </a:r>
        </a:p>
        <a:p>
          <a:r>
            <a:rPr lang="en-GB" sz="1200">
              <a:solidFill>
                <a:schemeClr val="bg1"/>
              </a:solidFill>
            </a:rPr>
            <a:t>• Fixed incorrect email patterns</a:t>
          </a:r>
        </a:p>
        <a:p>
          <a:r>
            <a:rPr lang="en-GB" sz="1200">
              <a:solidFill>
                <a:schemeClr val="bg1"/>
              </a:solidFill>
            </a:rPr>
            <a:t>• Validated date formatting issues</a:t>
          </a:r>
        </a:p>
        <a:p>
          <a:r>
            <a:rPr lang="en-GB" sz="1200">
              <a:solidFill>
                <a:schemeClr val="bg1"/>
              </a:solidFill>
            </a:rPr>
            <a:t>• Reviewed order values for errors</a:t>
          </a:r>
        </a:p>
        <a:p>
          <a:r>
            <a:rPr lang="en-GB" sz="1200">
              <a:solidFill>
                <a:schemeClr val="bg1"/>
              </a:solidFill>
            </a:rPr>
            <a:t>• Fixed special characters in names (O’Brien/O’Neil)</a:t>
          </a:r>
        </a:p>
        <a:p>
          <a:endParaRPr lang="en-GB" sz="1100"/>
        </a:p>
      </xdr:txBody>
    </xdr:sp>
    <xdr:clientData/>
  </xdr:twoCellAnchor>
  <xdr:twoCellAnchor>
    <xdr:from>
      <xdr:col>0</xdr:col>
      <xdr:colOff>0</xdr:colOff>
      <xdr:row>33</xdr:row>
      <xdr:rowOff>9526</xdr:rowOff>
    </xdr:from>
    <xdr:to>
      <xdr:col>12</xdr:col>
      <xdr:colOff>0</xdr:colOff>
      <xdr:row>35</xdr:row>
      <xdr:rowOff>85726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E150D91-62CB-4104-05E8-F0A74D3BE7F0}"/>
            </a:ext>
          </a:extLst>
        </xdr:cNvPr>
        <xdr:cNvSpPr/>
      </xdr:nvSpPr>
      <xdr:spPr>
        <a:xfrm>
          <a:off x="0" y="6296026"/>
          <a:ext cx="7315200" cy="457200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395288</xdr:colOff>
      <xdr:row>33</xdr:row>
      <xdr:rowOff>38100</xdr:rowOff>
    </xdr:from>
    <xdr:to>
      <xdr:col>9</xdr:col>
      <xdr:colOff>214313</xdr:colOff>
      <xdr:row>35</xdr:row>
      <xdr:rowOff>76200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300CDE-FD08-E502-11B8-C56576A2B990}"/>
            </a:ext>
          </a:extLst>
        </xdr:cNvPr>
        <xdr:cNvSpPr txBox="1"/>
      </xdr:nvSpPr>
      <xdr:spPr>
        <a:xfrm>
          <a:off x="1614488" y="6324600"/>
          <a:ext cx="408622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800">
              <a:solidFill>
                <a:schemeClr val="bg1"/>
              </a:solidFill>
            </a:rPr>
            <a:t>BEFORE/AFTER</a:t>
          </a:r>
          <a:r>
            <a:rPr lang="en-GB" sz="1800" baseline="0">
              <a:solidFill>
                <a:schemeClr val="bg1"/>
              </a:solidFill>
            </a:rPr>
            <a:t> COMPARISON TABLE</a:t>
          </a:r>
          <a:endParaRPr lang="en-GB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43</xdr:row>
      <xdr:rowOff>171450</xdr:rowOff>
    </xdr:from>
    <xdr:to>
      <xdr:col>12</xdr:col>
      <xdr:colOff>0</xdr:colOff>
      <xdr:row>50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065ED6B-8720-4511-62B0-B1EDCE90478F}"/>
            </a:ext>
          </a:extLst>
        </xdr:cNvPr>
        <xdr:cNvSpPr/>
      </xdr:nvSpPr>
      <xdr:spPr>
        <a:xfrm>
          <a:off x="0" y="8467725"/>
          <a:ext cx="7315200" cy="126682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 u="sng">
              <a:solidFill>
                <a:schemeClr val="tx1">
                  <a:lumMod val="65000"/>
                  <a:lumOff val="35000"/>
                </a:schemeClr>
              </a:solidFill>
            </a:rPr>
            <a:t>TOOL</a:t>
          </a:r>
          <a:r>
            <a:rPr lang="en-GB" sz="1600" b="1" u="sng" baseline="0">
              <a:solidFill>
                <a:schemeClr val="tx1">
                  <a:lumMod val="65000"/>
                  <a:lumOff val="35000"/>
                </a:schemeClr>
              </a:solidFill>
            </a:rPr>
            <a:t> USED</a:t>
          </a:r>
          <a:endParaRPr lang="en-GB" sz="1600" b="1" u="sng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GB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GB" sz="1100">
              <a:solidFill>
                <a:schemeClr val="tx1">
                  <a:lumMod val="65000"/>
                  <a:lumOff val="35000"/>
                </a:schemeClr>
              </a:solidFill>
            </a:rPr>
            <a:t>• Excel Power Query</a:t>
          </a:r>
        </a:p>
        <a:p>
          <a:r>
            <a:rPr lang="en-GB" sz="1100">
              <a:solidFill>
                <a:schemeClr val="tx1">
                  <a:lumMod val="65000"/>
                  <a:lumOff val="35000"/>
                </a:schemeClr>
              </a:solidFill>
            </a:rPr>
            <a:t>• TRIM(), PROPER(), VALUE(), DATEVALUE()</a:t>
          </a:r>
        </a:p>
        <a:p>
          <a:r>
            <a:rPr lang="en-GB" sz="1100">
              <a:solidFill>
                <a:schemeClr val="tx1">
                  <a:lumMod val="65000"/>
                  <a:lumOff val="35000"/>
                </a:schemeClr>
              </a:solidFill>
            </a:rPr>
            <a:t>• Sorting &amp; filtering</a:t>
          </a:r>
        </a:p>
        <a:p>
          <a:r>
            <a:rPr lang="en-GB" sz="1100">
              <a:solidFill>
                <a:schemeClr val="tx1">
                  <a:lumMod val="65000"/>
                  <a:lumOff val="35000"/>
                </a:schemeClr>
              </a:solidFill>
            </a:rPr>
            <a:t>• Manual QA review</a:t>
          </a:r>
        </a:p>
        <a:p>
          <a:pPr algn="l"/>
          <a:endParaRPr lang="en-GB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ECED8-F328-4617-AF6F-8C9237DBFAB6}" autoFormatId="16" applyNumberFormats="0" applyBorderFormats="0" applyFontFormats="0" applyPatternFormats="0" applyAlignmentFormats="0" applyWidthHeightFormats="0">
  <queryTableRefresh nextId="6">
    <queryTableFields count="5">
      <queryTableField id="1" name="Customer ID" tableColumnId="1"/>
      <queryTableField id="2" name="Customer Name" tableColumnId="2"/>
      <queryTableField id="3" name="Email" tableColumnId="3"/>
      <queryTableField id="4" name="Order Date" tableColumnId="4"/>
      <queryTableField id="5" name="Order Value (£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1A097-A962-4EDA-99BD-2EE2818E9B40}" name="Table1_1" displayName="Table1_1" ref="A1:E58" tableType="queryTable" totalsRowShown="0">
  <autoFilter ref="A1:E58" xr:uid="{33D1A097-A962-4EDA-99BD-2EE2818E9B40}"/>
  <tableColumns count="5">
    <tableColumn id="1" xr3:uid="{2B84A235-FA49-4022-84A1-ACAA5FDCF241}" uniqueName="1" name="Customer ID" queryTableFieldId="1" dataDxfId="16"/>
    <tableColumn id="2" xr3:uid="{D6A01DA3-6732-4F95-A913-EBB184B8D9B4}" uniqueName="2" name="Customer Name" queryTableFieldId="2" dataDxfId="15"/>
    <tableColumn id="3" xr3:uid="{E685B5EE-02F1-4543-BCFD-424CD76F7BCE}" uniqueName="3" name="Email" queryTableFieldId="3"/>
    <tableColumn id="4" xr3:uid="{43CB099B-FFB4-4DA5-9D3F-402EBB19F01C}" uniqueName="4" name="Order Date" queryTableFieldId="4" dataDxfId="14"/>
    <tableColumn id="5" xr3:uid="{1283D754-1011-422B-954A-A4910B006B73}" uniqueName="5" name="Order Value (£)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0008A4-21C0-4A75-848D-749D4AD16302}" name="Table4" displayName="Table4" ref="A1:E59" totalsRowShown="0" headerRowDxfId="13" dataDxfId="12">
  <autoFilter ref="A1:E59" xr:uid="{B10008A4-21C0-4A75-848D-749D4AD16302}"/>
  <tableColumns count="5">
    <tableColumn id="1" xr3:uid="{D610A087-0298-4662-83E7-99BB58BE96EC}" name="Customer ID" dataDxfId="11"/>
    <tableColumn id="2" xr3:uid="{2F3ED727-6734-4A35-89ED-E6D27DAB4E8D}" name="Customer Name" dataDxfId="10"/>
    <tableColumn id="3" xr3:uid="{19A4CED6-C2CE-440C-B234-6BDEA049F915}" name="Email" dataDxfId="9"/>
    <tableColumn id="4" xr3:uid="{C66DFF3F-9306-475C-A02A-476581C51AD1}" name="Order Date" dataDxfId="8"/>
    <tableColumn id="5" xr3:uid="{EF8DABF4-48E5-4988-8BAC-B53FCE34FCCC}" name="Order Value (£)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3FD3EE-D25B-44B5-81DA-C590243B3B93}" name="Table5" displayName="Table5" ref="A1:D11" totalsRowShown="0" headerRowDxfId="6" dataDxfId="5">
  <autoFilter ref="A1:D11" xr:uid="{BA3FD3EE-D25B-44B5-81DA-C590243B3B93}"/>
  <sortState xmlns:xlrd2="http://schemas.microsoft.com/office/spreadsheetml/2017/richdata2" ref="A2:D11">
    <sortCondition descending="1" ref="D1:D11"/>
  </sortState>
  <tableColumns count="4">
    <tableColumn id="1" xr3:uid="{7B200F8D-3C34-486C-82F0-F97002E9CC96}" name="Customer Name" dataDxfId="4"/>
    <tableColumn id="2" xr3:uid="{5AA107C5-154B-43D8-994E-604DE185DF71}" name="Email" dataDxfId="3">
      <calculatedColumnFormula>_xlfn.XLOOKUP(A2,Table4[Customer Name],Table4[Email])</calculatedColumnFormula>
    </tableColumn>
    <tableColumn id="3" xr3:uid="{ED17BBB5-5F53-44C9-A012-752203986B8A}" name="Total Order" dataDxfId="2">
      <calculatedColumnFormula>COUNTIF(Table4[Customer Name],Summary!A2)</calculatedColumnFormula>
    </tableColumn>
    <tableColumn id="4" xr3:uid="{AAC2EB2A-EE0C-43E8-BDFA-C92733BD5DA6}" name="Total Value" dataDxfId="1">
      <calculatedColumnFormula>SUMIF(Table4[Customer Name],Summary!A2,Table4[Order Value (£)])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Katie.lee@example.co.uk" TargetMode="External"/><Relationship Id="rId1" Type="http://schemas.openxmlformats.org/officeDocument/2006/relationships/hyperlink" Target="mailto:Katie.LEE@Example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I10" sqref="A1:I1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>
      <selection sqref="A1:E63"/>
    </sheetView>
  </sheetViews>
  <sheetFormatPr defaultRowHeight="15" x14ac:dyDescent="0.25"/>
  <cols>
    <col min="1" max="1" width="11.85546875" style="2" bestFit="1" customWidth="1"/>
    <col min="2" max="2" width="16.85546875" style="2" bestFit="1" customWidth="1"/>
    <col min="3" max="3" width="29.7109375" style="2" bestFit="1" customWidth="1"/>
    <col min="4" max="4" width="12.140625" style="2" bestFit="1" customWidth="1"/>
    <col min="5" max="5" width="14.7109375" style="2" bestFit="1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s="2" t="s">
        <v>14</v>
      </c>
      <c r="B2" s="2" t="s">
        <v>15</v>
      </c>
      <c r="C2" s="2" t="s">
        <v>16</v>
      </c>
      <c r="D2" s="2" t="s">
        <v>17</v>
      </c>
      <c r="E2" s="3">
        <v>808.68</v>
      </c>
    </row>
    <row r="3" spans="1:5" x14ac:dyDescent="0.25">
      <c r="A3" s="2" t="s">
        <v>18</v>
      </c>
      <c r="B3" s="2" t="s">
        <v>19</v>
      </c>
      <c r="C3" s="2" t="s">
        <v>20</v>
      </c>
      <c r="D3" s="2" t="s">
        <v>21</v>
      </c>
      <c r="E3" s="3">
        <v>329.06</v>
      </c>
    </row>
    <row r="4" spans="1:5" x14ac:dyDescent="0.25">
      <c r="A4" s="2" t="s">
        <v>22</v>
      </c>
      <c r="B4" s="2" t="s">
        <v>23</v>
      </c>
      <c r="C4" s="2" t="s">
        <v>24</v>
      </c>
      <c r="D4" s="2" t="s">
        <v>25</v>
      </c>
      <c r="E4" s="3"/>
    </row>
    <row r="5" spans="1:5" x14ac:dyDescent="0.25">
      <c r="A5" s="2" t="s">
        <v>26</v>
      </c>
      <c r="B5" s="2" t="s">
        <v>27</v>
      </c>
      <c r="C5" s="2" t="s">
        <v>16</v>
      </c>
      <c r="D5" s="2" t="s">
        <v>28</v>
      </c>
      <c r="E5" s="3">
        <v>745.19</v>
      </c>
    </row>
    <row r="6" spans="1:5" x14ac:dyDescent="0.25">
      <c r="A6" s="2" t="s">
        <v>29</v>
      </c>
      <c r="B6" s="2" t="s">
        <v>30</v>
      </c>
      <c r="C6" s="2" t="s">
        <v>31</v>
      </c>
      <c r="D6" s="2" t="s">
        <v>32</v>
      </c>
      <c r="E6" s="3">
        <v>143.93</v>
      </c>
    </row>
    <row r="7" spans="1:5" x14ac:dyDescent="0.25">
      <c r="A7" s="2" t="s">
        <v>33</v>
      </c>
      <c r="B7" s="2" t="s">
        <v>19</v>
      </c>
      <c r="C7" s="2" t="s">
        <v>20</v>
      </c>
      <c r="D7" s="2" t="s">
        <v>34</v>
      </c>
      <c r="E7" s="3">
        <v>972.03</v>
      </c>
    </row>
    <row r="8" spans="1:5" x14ac:dyDescent="0.25">
      <c r="A8" s="2" t="s">
        <v>35</v>
      </c>
      <c r="B8" s="2" t="s">
        <v>27</v>
      </c>
      <c r="C8" s="2" t="s">
        <v>16</v>
      </c>
      <c r="D8" s="2" t="s">
        <v>36</v>
      </c>
      <c r="E8" s="3">
        <v>771.61</v>
      </c>
    </row>
    <row r="9" spans="1:5" x14ac:dyDescent="0.25">
      <c r="A9" s="2" t="s">
        <v>37</v>
      </c>
      <c r="B9" s="2" t="s">
        <v>38</v>
      </c>
      <c r="C9" s="2" t="s">
        <v>39</v>
      </c>
      <c r="D9" s="2" t="s">
        <v>40</v>
      </c>
      <c r="E9" s="3">
        <v>176.05</v>
      </c>
    </row>
    <row r="10" spans="1:5" x14ac:dyDescent="0.25">
      <c r="A10" s="2" t="s">
        <v>41</v>
      </c>
      <c r="B10" s="2" t="s">
        <v>42</v>
      </c>
      <c r="D10" s="2" t="s">
        <v>43</v>
      </c>
      <c r="E10" s="3">
        <v>646.22</v>
      </c>
    </row>
    <row r="11" spans="1:5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3">
        <v>967.35</v>
      </c>
    </row>
    <row r="12" spans="1:5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3">
        <v>1193.8599999999999</v>
      </c>
    </row>
    <row r="13" spans="1:5" x14ac:dyDescent="0.25">
      <c r="A13" s="2" t="s">
        <v>52</v>
      </c>
      <c r="B13" s="2" t="s">
        <v>45</v>
      </c>
      <c r="C13" s="2" t="s">
        <v>46</v>
      </c>
      <c r="D13" s="2" t="s">
        <v>53</v>
      </c>
      <c r="E13" s="3"/>
    </row>
    <row r="14" spans="1:5" x14ac:dyDescent="0.25">
      <c r="A14" s="2" t="s">
        <v>54</v>
      </c>
      <c r="B14" s="2" t="s">
        <v>55</v>
      </c>
      <c r="C14" s="2" t="s">
        <v>24</v>
      </c>
      <c r="D14" s="2" t="s">
        <v>56</v>
      </c>
      <c r="E14" s="3">
        <v>251.93</v>
      </c>
    </row>
    <row r="15" spans="1:5" x14ac:dyDescent="0.25">
      <c r="A15" s="2" t="s">
        <v>57</v>
      </c>
      <c r="B15" s="2" t="s">
        <v>55</v>
      </c>
      <c r="C15" s="2" t="s">
        <v>24</v>
      </c>
      <c r="D15" s="2" t="s">
        <v>58</v>
      </c>
      <c r="E15" s="3">
        <v>1174.71</v>
      </c>
    </row>
    <row r="16" spans="1:5" x14ac:dyDescent="0.25">
      <c r="A16" s="2" t="s">
        <v>59</v>
      </c>
      <c r="B16" s="2" t="s">
        <v>42</v>
      </c>
      <c r="D16" s="2" t="s">
        <v>60</v>
      </c>
      <c r="E16" s="3">
        <v>787.82</v>
      </c>
    </row>
    <row r="17" spans="1:5" x14ac:dyDescent="0.25">
      <c r="A17" s="2" t="s">
        <v>61</v>
      </c>
      <c r="B17" s="2" t="s">
        <v>62</v>
      </c>
      <c r="C17" s="2" t="s">
        <v>63</v>
      </c>
      <c r="D17" s="2" t="s">
        <v>64</v>
      </c>
      <c r="E17" s="3">
        <v>66.650000000000006</v>
      </c>
    </row>
    <row r="18" spans="1:5" x14ac:dyDescent="0.25">
      <c r="A18" s="2" t="s">
        <v>65</v>
      </c>
      <c r="B18" s="2" t="s">
        <v>66</v>
      </c>
      <c r="D18" s="2" t="s">
        <v>67</v>
      </c>
      <c r="E18" s="3">
        <v>418.1</v>
      </c>
    </row>
    <row r="19" spans="1:5" x14ac:dyDescent="0.25">
      <c r="A19" s="2" t="s">
        <v>68</v>
      </c>
      <c r="B19" s="2" t="s">
        <v>55</v>
      </c>
      <c r="C19" s="2" t="s">
        <v>24</v>
      </c>
      <c r="D19" s="2" t="s">
        <v>69</v>
      </c>
      <c r="E19" s="3">
        <v>947</v>
      </c>
    </row>
    <row r="20" spans="1:5" x14ac:dyDescent="0.25">
      <c r="A20" s="2" t="s">
        <v>70</v>
      </c>
      <c r="B20" s="2" t="s">
        <v>38</v>
      </c>
      <c r="C20" s="2" t="s">
        <v>39</v>
      </c>
      <c r="D20" s="2" t="s">
        <v>71</v>
      </c>
      <c r="E20" s="3">
        <v>229.24</v>
      </c>
    </row>
    <row r="21" spans="1:5" x14ac:dyDescent="0.25">
      <c r="A21" s="2" t="s">
        <v>72</v>
      </c>
      <c r="B21" s="2" t="s">
        <v>73</v>
      </c>
      <c r="C21" s="2" t="s">
        <v>63</v>
      </c>
      <c r="D21" s="2" t="s">
        <v>74</v>
      </c>
      <c r="E21" s="3">
        <v>953.82</v>
      </c>
    </row>
    <row r="22" spans="1:5" x14ac:dyDescent="0.25">
      <c r="A22" s="2" t="s">
        <v>75</v>
      </c>
      <c r="B22" s="2" t="s">
        <v>55</v>
      </c>
      <c r="C22" s="2" t="s">
        <v>24</v>
      </c>
      <c r="D22" s="2" t="s">
        <v>76</v>
      </c>
      <c r="E22" s="3">
        <v>724.93</v>
      </c>
    </row>
    <row r="23" spans="1:5" x14ac:dyDescent="0.25">
      <c r="A23" s="2" t="s">
        <v>77</v>
      </c>
      <c r="B23" s="2" t="s">
        <v>78</v>
      </c>
      <c r="C23" s="2" t="s">
        <v>46</v>
      </c>
      <c r="D23" s="2" t="s">
        <v>79</v>
      </c>
      <c r="E23" s="3">
        <v>406.29</v>
      </c>
    </row>
    <row r="24" spans="1:5" x14ac:dyDescent="0.25">
      <c r="A24" s="2" t="s">
        <v>80</v>
      </c>
      <c r="B24" s="2" t="s">
        <v>81</v>
      </c>
      <c r="C24" s="2" t="s">
        <v>16</v>
      </c>
      <c r="D24" s="2" t="s">
        <v>82</v>
      </c>
      <c r="E24" s="3">
        <v>1117.32</v>
      </c>
    </row>
    <row r="25" spans="1:5" x14ac:dyDescent="0.25">
      <c r="A25" s="2" t="s">
        <v>83</v>
      </c>
      <c r="B25" s="2" t="s">
        <v>19</v>
      </c>
      <c r="C25" s="2" t="s">
        <v>20</v>
      </c>
      <c r="D25" s="2" t="s">
        <v>84</v>
      </c>
      <c r="E25" s="3">
        <v>516.46</v>
      </c>
    </row>
    <row r="26" spans="1:5" x14ac:dyDescent="0.25">
      <c r="A26" s="2" t="s">
        <v>85</v>
      </c>
      <c r="B26" s="2" t="s">
        <v>78</v>
      </c>
      <c r="C26" s="2" t="s">
        <v>46</v>
      </c>
      <c r="D26" s="2" t="s">
        <v>86</v>
      </c>
      <c r="E26" s="3">
        <v>213.45</v>
      </c>
    </row>
    <row r="27" spans="1:5" x14ac:dyDescent="0.25">
      <c r="A27" s="2" t="s">
        <v>87</v>
      </c>
      <c r="B27" s="2" t="s">
        <v>88</v>
      </c>
      <c r="C27" s="2" t="s">
        <v>39</v>
      </c>
      <c r="D27" s="2" t="s">
        <v>89</v>
      </c>
      <c r="E27" s="3">
        <v>592.21</v>
      </c>
    </row>
    <row r="28" spans="1:5" x14ac:dyDescent="0.25">
      <c r="A28" s="2" t="s">
        <v>90</v>
      </c>
      <c r="B28" s="2" t="s">
        <v>73</v>
      </c>
      <c r="C28" s="2" t="s">
        <v>63</v>
      </c>
      <c r="D28" s="2" t="s">
        <v>91</v>
      </c>
      <c r="E28" s="3">
        <v>723.15</v>
      </c>
    </row>
    <row r="29" spans="1:5" x14ac:dyDescent="0.25">
      <c r="A29" s="2" t="s">
        <v>92</v>
      </c>
      <c r="B29" s="2" t="s">
        <v>42</v>
      </c>
      <c r="D29" s="2" t="s">
        <v>93</v>
      </c>
      <c r="E29" s="3">
        <v>364.1</v>
      </c>
    </row>
    <row r="30" spans="1:5" x14ac:dyDescent="0.25">
      <c r="A30" s="2" t="s">
        <v>94</v>
      </c>
      <c r="B30" s="2" t="s">
        <v>66</v>
      </c>
      <c r="D30" s="2" t="s">
        <v>95</v>
      </c>
      <c r="E30" s="3">
        <v>845.77</v>
      </c>
    </row>
    <row r="31" spans="1:5" x14ac:dyDescent="0.25">
      <c r="A31" s="2" t="s">
        <v>96</v>
      </c>
      <c r="B31" s="2" t="s">
        <v>42</v>
      </c>
      <c r="D31" s="2" t="s">
        <v>97</v>
      </c>
      <c r="E31" s="3"/>
    </row>
    <row r="32" spans="1:5" x14ac:dyDescent="0.25">
      <c r="A32" s="2" t="s">
        <v>98</v>
      </c>
      <c r="B32" s="2" t="s">
        <v>49</v>
      </c>
      <c r="C32" s="2" t="s">
        <v>50</v>
      </c>
      <c r="D32" s="2" t="s">
        <v>99</v>
      </c>
      <c r="E32" s="3">
        <v>992.34</v>
      </c>
    </row>
    <row r="33" spans="1:5" x14ac:dyDescent="0.25">
      <c r="A33" s="2" t="s">
        <v>100</v>
      </c>
      <c r="B33" s="2" t="s">
        <v>101</v>
      </c>
      <c r="C33" s="2" t="s">
        <v>102</v>
      </c>
      <c r="D33" s="2" t="s">
        <v>103</v>
      </c>
      <c r="E33" s="3">
        <v>91.3</v>
      </c>
    </row>
    <row r="34" spans="1:5" x14ac:dyDescent="0.25">
      <c r="A34" s="2" t="s">
        <v>104</v>
      </c>
      <c r="B34" s="2" t="s">
        <v>105</v>
      </c>
      <c r="C34" s="2" t="s">
        <v>20</v>
      </c>
      <c r="D34" s="2" t="s">
        <v>106</v>
      </c>
      <c r="E34" s="3">
        <v>84.49</v>
      </c>
    </row>
    <row r="35" spans="1:5" x14ac:dyDescent="0.25">
      <c r="A35" s="2" t="s">
        <v>107</v>
      </c>
      <c r="B35" s="2" t="s">
        <v>42</v>
      </c>
      <c r="D35" s="2" t="s">
        <v>108</v>
      </c>
      <c r="E35" s="3">
        <v>584.33000000000004</v>
      </c>
    </row>
    <row r="36" spans="1:5" x14ac:dyDescent="0.25">
      <c r="A36" s="2" t="s">
        <v>109</v>
      </c>
      <c r="B36" s="2" t="s">
        <v>30</v>
      </c>
      <c r="C36" s="2" t="s">
        <v>31</v>
      </c>
      <c r="D36" s="2" t="s">
        <v>110</v>
      </c>
      <c r="E36" s="3">
        <v>358.12</v>
      </c>
    </row>
    <row r="37" spans="1:5" x14ac:dyDescent="0.25">
      <c r="A37" s="2" t="s">
        <v>111</v>
      </c>
      <c r="B37" s="2" t="s">
        <v>19</v>
      </c>
      <c r="C37" s="2" t="s">
        <v>20</v>
      </c>
      <c r="D37" s="2" t="s">
        <v>112</v>
      </c>
      <c r="E37" s="3">
        <v>1184.45</v>
      </c>
    </row>
    <row r="38" spans="1:5" x14ac:dyDescent="0.25">
      <c r="A38" s="2" t="s">
        <v>113</v>
      </c>
      <c r="B38" s="2" t="s">
        <v>114</v>
      </c>
      <c r="C38" s="2" t="s">
        <v>102</v>
      </c>
      <c r="D38" s="2" t="s">
        <v>115</v>
      </c>
      <c r="E38" s="3">
        <v>321.77</v>
      </c>
    </row>
    <row r="39" spans="1:5" x14ac:dyDescent="0.25">
      <c r="A39" s="2" t="s">
        <v>116</v>
      </c>
      <c r="B39" s="2" t="s">
        <v>27</v>
      </c>
      <c r="C39" s="2" t="s">
        <v>16</v>
      </c>
      <c r="D39" s="2" t="s">
        <v>117</v>
      </c>
      <c r="E39" s="3">
        <v>718.74</v>
      </c>
    </row>
    <row r="40" spans="1:5" x14ac:dyDescent="0.25">
      <c r="A40" s="2" t="s">
        <v>118</v>
      </c>
      <c r="B40" s="2" t="s">
        <v>73</v>
      </c>
      <c r="C40" s="2" t="s">
        <v>63</v>
      </c>
      <c r="D40" s="2" t="s">
        <v>119</v>
      </c>
      <c r="E40" s="3">
        <v>123.29</v>
      </c>
    </row>
    <row r="41" spans="1:5" x14ac:dyDescent="0.25">
      <c r="A41" s="2" t="s">
        <v>120</v>
      </c>
      <c r="B41" s="2" t="s">
        <v>49</v>
      </c>
      <c r="C41" s="2" t="s">
        <v>50</v>
      </c>
      <c r="D41" s="2" t="s">
        <v>121</v>
      </c>
      <c r="E41" s="3">
        <v>1126.08</v>
      </c>
    </row>
    <row r="42" spans="1:5" x14ac:dyDescent="0.25">
      <c r="A42" s="2" t="s">
        <v>122</v>
      </c>
      <c r="B42" s="2" t="s">
        <v>27</v>
      </c>
      <c r="C42" s="2" t="s">
        <v>16</v>
      </c>
      <c r="D42" s="2" t="s">
        <v>123</v>
      </c>
      <c r="E42" s="3">
        <v>401.03</v>
      </c>
    </row>
    <row r="43" spans="1:5" x14ac:dyDescent="0.25">
      <c r="A43" s="2" t="s">
        <v>124</v>
      </c>
      <c r="B43" s="2" t="s">
        <v>125</v>
      </c>
      <c r="C43" s="2" t="s">
        <v>50</v>
      </c>
      <c r="D43" s="2" t="s">
        <v>126</v>
      </c>
      <c r="E43" s="3">
        <v>180.72</v>
      </c>
    </row>
    <row r="44" spans="1:5" x14ac:dyDescent="0.25">
      <c r="A44" s="2" t="s">
        <v>127</v>
      </c>
      <c r="B44" s="2" t="s">
        <v>49</v>
      </c>
      <c r="C44" s="2" t="s">
        <v>50</v>
      </c>
      <c r="D44" s="2" t="s">
        <v>128</v>
      </c>
      <c r="E44" s="3">
        <v>366.1</v>
      </c>
    </row>
    <row r="45" spans="1:5" x14ac:dyDescent="0.25">
      <c r="A45" s="2" t="s">
        <v>129</v>
      </c>
      <c r="B45" s="2" t="s">
        <v>19</v>
      </c>
      <c r="C45" s="2" t="s">
        <v>20</v>
      </c>
      <c r="D45" s="2" t="s">
        <v>130</v>
      </c>
      <c r="E45" s="3">
        <v>1099.93</v>
      </c>
    </row>
    <row r="46" spans="1:5" x14ac:dyDescent="0.25">
      <c r="A46" s="2" t="s">
        <v>131</v>
      </c>
      <c r="B46" s="2" t="s">
        <v>30</v>
      </c>
      <c r="C46" s="2" t="s">
        <v>31</v>
      </c>
      <c r="D46" s="2" t="s">
        <v>132</v>
      </c>
      <c r="E46" s="3">
        <v>632.46</v>
      </c>
    </row>
    <row r="47" spans="1:5" x14ac:dyDescent="0.25">
      <c r="A47" s="2" t="s">
        <v>133</v>
      </c>
      <c r="B47" s="2" t="s">
        <v>134</v>
      </c>
      <c r="C47" s="2" t="s">
        <v>135</v>
      </c>
      <c r="D47" s="2" t="s">
        <v>136</v>
      </c>
      <c r="E47" s="3">
        <v>904.86</v>
      </c>
    </row>
    <row r="48" spans="1:5" x14ac:dyDescent="0.25">
      <c r="A48" s="2" t="s">
        <v>137</v>
      </c>
      <c r="B48" s="2" t="s">
        <v>138</v>
      </c>
      <c r="C48" s="2" t="s">
        <v>31</v>
      </c>
      <c r="D48" s="2" t="s">
        <v>139</v>
      </c>
      <c r="E48" s="3">
        <v>1134.8599999999999</v>
      </c>
    </row>
    <row r="49" spans="1:5" x14ac:dyDescent="0.25">
      <c r="A49" s="2" t="s">
        <v>140</v>
      </c>
      <c r="B49" s="2" t="s">
        <v>73</v>
      </c>
      <c r="C49" s="2" t="s">
        <v>63</v>
      </c>
      <c r="D49" s="2" t="s">
        <v>34</v>
      </c>
      <c r="E49" s="3">
        <v>1016.65</v>
      </c>
    </row>
    <row r="50" spans="1:5" x14ac:dyDescent="0.25">
      <c r="A50" s="2" t="s">
        <v>141</v>
      </c>
      <c r="B50" s="2" t="s">
        <v>81</v>
      </c>
      <c r="C50" s="2" t="s">
        <v>16</v>
      </c>
      <c r="D50" s="2" t="s">
        <v>142</v>
      </c>
      <c r="E50" s="3">
        <v>257.19</v>
      </c>
    </row>
    <row r="51" spans="1:5" x14ac:dyDescent="0.25">
      <c r="A51" s="2" t="s">
        <v>143</v>
      </c>
      <c r="B51" s="2" t="s">
        <v>38</v>
      </c>
      <c r="C51" s="2" t="s">
        <v>144</v>
      </c>
      <c r="D51" s="2" t="s">
        <v>145</v>
      </c>
      <c r="E51" s="3">
        <v>24.15</v>
      </c>
    </row>
    <row r="52" spans="1:5" x14ac:dyDescent="0.25">
      <c r="A52" s="2" t="s">
        <v>146</v>
      </c>
      <c r="B52" s="2" t="s">
        <v>101</v>
      </c>
      <c r="C52" s="2" t="s">
        <v>102</v>
      </c>
      <c r="D52" s="2" t="s">
        <v>147</v>
      </c>
      <c r="E52" s="3">
        <v>946.85</v>
      </c>
    </row>
    <row r="53" spans="1:5" x14ac:dyDescent="0.25">
      <c r="A53" s="2" t="s">
        <v>148</v>
      </c>
      <c r="B53" s="2" t="s">
        <v>125</v>
      </c>
      <c r="C53" s="2" t="s">
        <v>50</v>
      </c>
      <c r="D53" s="2" t="s">
        <v>149</v>
      </c>
      <c r="E53" s="3">
        <v>425.98</v>
      </c>
    </row>
    <row r="54" spans="1:5" x14ac:dyDescent="0.25">
      <c r="A54" s="2" t="s">
        <v>150</v>
      </c>
      <c r="B54" s="2" t="s">
        <v>81</v>
      </c>
      <c r="C54" s="2" t="s">
        <v>16</v>
      </c>
      <c r="D54" s="2" t="s">
        <v>151</v>
      </c>
      <c r="E54" s="3"/>
    </row>
    <row r="55" spans="1:5" x14ac:dyDescent="0.25">
      <c r="A55" s="2" t="s">
        <v>152</v>
      </c>
      <c r="B55" s="2" t="s">
        <v>114</v>
      </c>
      <c r="C55" s="2" t="s">
        <v>102</v>
      </c>
      <c r="D55" s="2" t="s">
        <v>153</v>
      </c>
      <c r="E55" s="3">
        <v>956.14</v>
      </c>
    </row>
    <row r="56" spans="1:5" x14ac:dyDescent="0.25">
      <c r="A56" s="2" t="s">
        <v>154</v>
      </c>
      <c r="B56" s="2" t="s">
        <v>155</v>
      </c>
      <c r="C56" s="2" t="s">
        <v>24</v>
      </c>
      <c r="D56" s="2" t="s">
        <v>156</v>
      </c>
      <c r="E56" s="3">
        <v>723.5</v>
      </c>
    </row>
    <row r="57" spans="1:5" x14ac:dyDescent="0.25">
      <c r="A57" s="2" t="s">
        <v>157</v>
      </c>
      <c r="B57" s="2" t="s">
        <v>78</v>
      </c>
      <c r="C57" s="2" t="s">
        <v>158</v>
      </c>
      <c r="D57" s="2" t="s">
        <v>86</v>
      </c>
      <c r="E57" s="3">
        <v>1170.76</v>
      </c>
    </row>
    <row r="58" spans="1:5" x14ac:dyDescent="0.25">
      <c r="A58" s="2" t="s">
        <v>159</v>
      </c>
      <c r="B58" s="2" t="s">
        <v>155</v>
      </c>
      <c r="C58" s="2" t="s">
        <v>24</v>
      </c>
      <c r="D58" s="2" t="s">
        <v>160</v>
      </c>
      <c r="E58" s="3">
        <v>784.29</v>
      </c>
    </row>
    <row r="59" spans="1:5" x14ac:dyDescent="0.25">
      <c r="A59" s="2" t="s">
        <v>161</v>
      </c>
      <c r="B59" s="2" t="s">
        <v>78</v>
      </c>
      <c r="C59" s="2" t="s">
        <v>46</v>
      </c>
      <c r="D59" s="2" t="s">
        <v>162</v>
      </c>
      <c r="E59" s="3">
        <v>355.31</v>
      </c>
    </row>
    <row r="60" spans="1:5" x14ac:dyDescent="0.25">
      <c r="A60" s="2" t="s">
        <v>163</v>
      </c>
      <c r="B60" s="2" t="s">
        <v>73</v>
      </c>
      <c r="C60" s="2" t="s">
        <v>63</v>
      </c>
      <c r="D60" s="2" t="s">
        <v>84</v>
      </c>
      <c r="E60" s="3">
        <v>553.75</v>
      </c>
    </row>
    <row r="61" spans="1:5" x14ac:dyDescent="0.25">
      <c r="A61" s="2" t="s">
        <v>164</v>
      </c>
      <c r="B61" s="2" t="s">
        <v>55</v>
      </c>
      <c r="C61" s="2" t="s">
        <v>24</v>
      </c>
      <c r="D61" s="2" t="s">
        <v>97</v>
      </c>
      <c r="E61" s="3">
        <v>220.74</v>
      </c>
    </row>
    <row r="62" spans="1:5" x14ac:dyDescent="0.25">
      <c r="A62" s="2" t="s">
        <v>165</v>
      </c>
      <c r="B62" s="2" t="s">
        <v>73</v>
      </c>
      <c r="C62" s="2" t="s">
        <v>63</v>
      </c>
      <c r="D62" s="2" t="s">
        <v>166</v>
      </c>
      <c r="E62" s="3">
        <v>250</v>
      </c>
    </row>
    <row r="63" spans="1:5" x14ac:dyDescent="0.25">
      <c r="A63" s="2" t="s">
        <v>167</v>
      </c>
      <c r="B63" s="2" t="s">
        <v>168</v>
      </c>
      <c r="C63" s="2" t="s">
        <v>63</v>
      </c>
      <c r="D63" s="2" t="s">
        <v>169</v>
      </c>
      <c r="E63" s="3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DD4A-B4E0-4760-B66D-06C16E09ECBC}">
  <dimension ref="A1:E58"/>
  <sheetViews>
    <sheetView topLeftCell="A38" zoomScaleNormal="100" workbookViewId="0">
      <selection activeCell="B1" sqref="B1:B1048576"/>
    </sheetView>
  </sheetViews>
  <sheetFormatPr defaultRowHeight="15" x14ac:dyDescent="0.25"/>
  <cols>
    <col min="1" max="1" width="14.140625" bestFit="1" customWidth="1"/>
    <col min="2" max="2" width="17.7109375" bestFit="1" customWidth="1"/>
    <col min="3" max="3" width="29.7109375" bestFit="1" customWidth="1"/>
    <col min="4" max="4" width="13" bestFit="1" customWidth="1"/>
    <col min="5" max="5" width="17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170</v>
      </c>
      <c r="C2" t="s">
        <v>16</v>
      </c>
      <c r="D2" s="4">
        <v>45402</v>
      </c>
      <c r="E2">
        <v>808.68</v>
      </c>
    </row>
    <row r="3" spans="1:5" x14ac:dyDescent="0.25">
      <c r="A3" t="s">
        <v>18</v>
      </c>
      <c r="B3" t="s">
        <v>19</v>
      </c>
      <c r="C3" t="s">
        <v>20</v>
      </c>
      <c r="D3" s="4">
        <v>45566</v>
      </c>
      <c r="E3">
        <v>329.06</v>
      </c>
    </row>
    <row r="4" spans="1:5" x14ac:dyDescent="0.25">
      <c r="A4" t="s">
        <v>26</v>
      </c>
      <c r="B4" t="s">
        <v>171</v>
      </c>
      <c r="C4" t="s">
        <v>16</v>
      </c>
      <c r="D4" s="4">
        <v>45547</v>
      </c>
      <c r="E4">
        <v>745.19</v>
      </c>
    </row>
    <row r="5" spans="1:5" x14ac:dyDescent="0.25">
      <c r="A5" t="s">
        <v>29</v>
      </c>
      <c r="B5" t="s">
        <v>172</v>
      </c>
      <c r="C5" t="s">
        <v>31</v>
      </c>
      <c r="D5" s="4">
        <v>45563</v>
      </c>
      <c r="E5">
        <v>143.93</v>
      </c>
    </row>
    <row r="6" spans="1:5" x14ac:dyDescent="0.25">
      <c r="A6" t="s">
        <v>33</v>
      </c>
      <c r="B6" t="s">
        <v>19</v>
      </c>
      <c r="C6" t="s">
        <v>20</v>
      </c>
      <c r="D6" s="4">
        <v>45645</v>
      </c>
      <c r="E6">
        <v>972.03</v>
      </c>
    </row>
    <row r="7" spans="1:5" x14ac:dyDescent="0.25">
      <c r="A7" t="s">
        <v>35</v>
      </c>
      <c r="B7" t="s">
        <v>171</v>
      </c>
      <c r="C7" t="s">
        <v>16</v>
      </c>
      <c r="D7" s="4">
        <v>45571</v>
      </c>
      <c r="E7">
        <v>771.61</v>
      </c>
    </row>
    <row r="8" spans="1:5" x14ac:dyDescent="0.25">
      <c r="A8" t="s">
        <v>37</v>
      </c>
      <c r="B8" t="s">
        <v>173</v>
      </c>
      <c r="C8" t="s">
        <v>39</v>
      </c>
      <c r="D8" s="4">
        <v>45297</v>
      </c>
      <c r="E8">
        <v>176.05</v>
      </c>
    </row>
    <row r="9" spans="1:5" x14ac:dyDescent="0.25">
      <c r="A9" t="s">
        <v>41</v>
      </c>
      <c r="B9" t="s">
        <v>42</v>
      </c>
      <c r="C9" t="s">
        <v>174</v>
      </c>
      <c r="D9" s="4">
        <v>45541</v>
      </c>
      <c r="E9">
        <v>646.22</v>
      </c>
    </row>
    <row r="10" spans="1:5" x14ac:dyDescent="0.25">
      <c r="A10" t="s">
        <v>44</v>
      </c>
      <c r="B10" t="s">
        <v>78</v>
      </c>
      <c r="C10" t="s">
        <v>46</v>
      </c>
      <c r="D10" s="4">
        <v>45410</v>
      </c>
      <c r="E10">
        <v>967.35</v>
      </c>
    </row>
    <row r="11" spans="1:5" x14ac:dyDescent="0.25">
      <c r="A11" t="s">
        <v>48</v>
      </c>
      <c r="B11" t="s">
        <v>49</v>
      </c>
      <c r="C11" t="s">
        <v>50</v>
      </c>
      <c r="D11" s="4">
        <v>45439</v>
      </c>
      <c r="E11">
        <v>1193.8599999999999</v>
      </c>
    </row>
    <row r="12" spans="1:5" x14ac:dyDescent="0.25">
      <c r="A12" t="s">
        <v>54</v>
      </c>
      <c r="B12" t="s">
        <v>55</v>
      </c>
      <c r="C12" t="s">
        <v>24</v>
      </c>
      <c r="D12" s="4">
        <v>45577</v>
      </c>
      <c r="E12">
        <v>251.93</v>
      </c>
    </row>
    <row r="13" spans="1:5" x14ac:dyDescent="0.25">
      <c r="A13" t="s">
        <v>57</v>
      </c>
      <c r="B13" t="s">
        <v>55</v>
      </c>
      <c r="C13" t="s">
        <v>24</v>
      </c>
      <c r="D13" s="4">
        <v>45409</v>
      </c>
      <c r="E13">
        <v>1174.71</v>
      </c>
    </row>
    <row r="14" spans="1:5" x14ac:dyDescent="0.25">
      <c r="A14" t="s">
        <v>59</v>
      </c>
      <c r="B14" t="s">
        <v>42</v>
      </c>
      <c r="C14" t="s">
        <v>174</v>
      </c>
      <c r="D14" s="4">
        <v>45528</v>
      </c>
      <c r="E14">
        <v>787.82</v>
      </c>
    </row>
    <row r="15" spans="1:5" x14ac:dyDescent="0.25">
      <c r="A15" t="s">
        <v>61</v>
      </c>
      <c r="B15" t="s">
        <v>73</v>
      </c>
      <c r="C15" t="s">
        <v>63</v>
      </c>
      <c r="D15" s="4">
        <v>45466</v>
      </c>
      <c r="E15">
        <v>66.650000000000006</v>
      </c>
    </row>
    <row r="16" spans="1:5" x14ac:dyDescent="0.25">
      <c r="A16" t="s">
        <v>65</v>
      </c>
      <c r="B16" t="s">
        <v>42</v>
      </c>
      <c r="C16" t="s">
        <v>174</v>
      </c>
      <c r="D16" s="4">
        <v>45513</v>
      </c>
      <c r="E16">
        <v>418.1</v>
      </c>
    </row>
    <row r="17" spans="1:5" x14ac:dyDescent="0.25">
      <c r="A17" t="s">
        <v>68</v>
      </c>
      <c r="B17" t="s">
        <v>55</v>
      </c>
      <c r="C17" t="s">
        <v>24</v>
      </c>
      <c r="D17" s="4">
        <v>45304</v>
      </c>
      <c r="E17">
        <v>947</v>
      </c>
    </row>
    <row r="18" spans="1:5" x14ac:dyDescent="0.25">
      <c r="A18" t="s">
        <v>70</v>
      </c>
      <c r="B18" t="s">
        <v>173</v>
      </c>
      <c r="C18" t="s">
        <v>39</v>
      </c>
      <c r="D18" s="4">
        <v>45457</v>
      </c>
      <c r="E18">
        <v>229.24</v>
      </c>
    </row>
    <row r="19" spans="1:5" x14ac:dyDescent="0.25">
      <c r="A19" t="s">
        <v>72</v>
      </c>
      <c r="B19" t="s">
        <v>73</v>
      </c>
      <c r="C19" t="s">
        <v>63</v>
      </c>
      <c r="D19" s="4">
        <v>45606</v>
      </c>
      <c r="E19">
        <v>953.82</v>
      </c>
    </row>
    <row r="20" spans="1:5" x14ac:dyDescent="0.25">
      <c r="A20" t="s">
        <v>75</v>
      </c>
      <c r="B20" t="s">
        <v>55</v>
      </c>
      <c r="C20" t="s">
        <v>24</v>
      </c>
      <c r="D20" s="4">
        <v>45463</v>
      </c>
      <c r="E20">
        <v>724.93</v>
      </c>
    </row>
    <row r="21" spans="1:5" x14ac:dyDescent="0.25">
      <c r="A21" t="s">
        <v>77</v>
      </c>
      <c r="B21" t="s">
        <v>78</v>
      </c>
      <c r="C21" t="s">
        <v>46</v>
      </c>
      <c r="D21" s="4">
        <v>45327</v>
      </c>
      <c r="E21">
        <v>406.29</v>
      </c>
    </row>
    <row r="22" spans="1:5" x14ac:dyDescent="0.25">
      <c r="A22" t="s">
        <v>80</v>
      </c>
      <c r="B22" t="s">
        <v>171</v>
      </c>
      <c r="C22" t="s">
        <v>16</v>
      </c>
      <c r="D22" s="4">
        <v>45602</v>
      </c>
      <c r="E22">
        <v>1117.32</v>
      </c>
    </row>
    <row r="23" spans="1:5" x14ac:dyDescent="0.25">
      <c r="A23" t="s">
        <v>83</v>
      </c>
      <c r="B23" t="s">
        <v>19</v>
      </c>
      <c r="C23" t="s">
        <v>20</v>
      </c>
      <c r="D23" s="4">
        <v>45520</v>
      </c>
      <c r="E23">
        <v>516.46</v>
      </c>
    </row>
    <row r="24" spans="1:5" x14ac:dyDescent="0.25">
      <c r="A24" t="s">
        <v>85</v>
      </c>
      <c r="B24" t="s">
        <v>78</v>
      </c>
      <c r="C24" t="s">
        <v>46</v>
      </c>
      <c r="D24" s="4">
        <v>45461</v>
      </c>
      <c r="E24">
        <v>213.45</v>
      </c>
    </row>
    <row r="25" spans="1:5" x14ac:dyDescent="0.25">
      <c r="A25" t="s">
        <v>87</v>
      </c>
      <c r="B25" t="s">
        <v>173</v>
      </c>
      <c r="C25" t="s">
        <v>39</v>
      </c>
      <c r="D25" s="4">
        <v>45339</v>
      </c>
      <c r="E25">
        <v>592.21</v>
      </c>
    </row>
    <row r="26" spans="1:5" x14ac:dyDescent="0.25">
      <c r="A26" t="s">
        <v>90</v>
      </c>
      <c r="B26" t="s">
        <v>73</v>
      </c>
      <c r="C26" t="s">
        <v>63</v>
      </c>
      <c r="D26" s="4">
        <v>45303</v>
      </c>
      <c r="E26">
        <v>723.15</v>
      </c>
    </row>
    <row r="27" spans="1:5" x14ac:dyDescent="0.25">
      <c r="A27" t="s">
        <v>92</v>
      </c>
      <c r="B27" t="s">
        <v>42</v>
      </c>
      <c r="C27" t="s">
        <v>174</v>
      </c>
      <c r="D27" s="4">
        <v>45468</v>
      </c>
      <c r="E27">
        <v>364.1</v>
      </c>
    </row>
    <row r="28" spans="1:5" x14ac:dyDescent="0.25">
      <c r="A28" t="s">
        <v>94</v>
      </c>
      <c r="B28" t="s">
        <v>42</v>
      </c>
      <c r="C28" t="s">
        <v>174</v>
      </c>
      <c r="D28" s="4">
        <v>45462</v>
      </c>
      <c r="E28">
        <v>845.77</v>
      </c>
    </row>
    <row r="29" spans="1:5" x14ac:dyDescent="0.25">
      <c r="A29" t="s">
        <v>98</v>
      </c>
      <c r="B29" t="s">
        <v>49</v>
      </c>
      <c r="C29" t="s">
        <v>50</v>
      </c>
      <c r="D29" s="4">
        <v>45633</v>
      </c>
      <c r="E29">
        <v>992.34</v>
      </c>
    </row>
    <row r="30" spans="1:5" x14ac:dyDescent="0.25">
      <c r="A30" t="s">
        <v>100</v>
      </c>
      <c r="B30" t="s">
        <v>175</v>
      </c>
      <c r="C30" t="s">
        <v>102</v>
      </c>
      <c r="D30" s="4">
        <v>45541</v>
      </c>
      <c r="E30">
        <v>91.3</v>
      </c>
    </row>
    <row r="31" spans="1:5" x14ac:dyDescent="0.25">
      <c r="A31" t="s">
        <v>104</v>
      </c>
      <c r="B31" t="s">
        <v>19</v>
      </c>
      <c r="C31" t="s">
        <v>20</v>
      </c>
      <c r="D31" s="4">
        <v>45362</v>
      </c>
      <c r="E31">
        <v>84.49</v>
      </c>
    </row>
    <row r="32" spans="1:5" x14ac:dyDescent="0.25">
      <c r="A32" t="s">
        <v>107</v>
      </c>
      <c r="B32" t="s">
        <v>42</v>
      </c>
      <c r="C32" t="s">
        <v>174</v>
      </c>
      <c r="D32" s="4">
        <v>45467</v>
      </c>
      <c r="E32">
        <v>584.33000000000004</v>
      </c>
    </row>
    <row r="33" spans="1:5" x14ac:dyDescent="0.25">
      <c r="A33" t="s">
        <v>109</v>
      </c>
      <c r="B33" t="s">
        <v>172</v>
      </c>
      <c r="C33" t="s">
        <v>31</v>
      </c>
      <c r="D33" s="4">
        <v>45612</v>
      </c>
      <c r="E33">
        <v>358.12</v>
      </c>
    </row>
    <row r="34" spans="1:5" x14ac:dyDescent="0.25">
      <c r="A34" t="s">
        <v>111</v>
      </c>
      <c r="B34" t="s">
        <v>19</v>
      </c>
      <c r="C34" t="s">
        <v>20</v>
      </c>
      <c r="D34" s="4">
        <v>45492</v>
      </c>
      <c r="E34">
        <v>1184.45</v>
      </c>
    </row>
    <row r="35" spans="1:5" x14ac:dyDescent="0.25">
      <c r="A35" t="s">
        <v>113</v>
      </c>
      <c r="B35" t="s">
        <v>175</v>
      </c>
      <c r="C35" t="s">
        <v>102</v>
      </c>
      <c r="D35" s="4">
        <v>45622</v>
      </c>
      <c r="E35">
        <v>321.77</v>
      </c>
    </row>
    <row r="36" spans="1:5" x14ac:dyDescent="0.25">
      <c r="A36" t="s">
        <v>116</v>
      </c>
      <c r="B36" t="s">
        <v>171</v>
      </c>
      <c r="C36" t="s">
        <v>16</v>
      </c>
      <c r="D36" s="4">
        <v>45324</v>
      </c>
      <c r="E36">
        <v>718.74</v>
      </c>
    </row>
    <row r="37" spans="1:5" x14ac:dyDescent="0.25">
      <c r="A37" t="s">
        <v>118</v>
      </c>
      <c r="B37" t="s">
        <v>73</v>
      </c>
      <c r="C37" t="s">
        <v>63</v>
      </c>
      <c r="D37" s="4">
        <v>45637</v>
      </c>
      <c r="E37">
        <v>123.29</v>
      </c>
    </row>
    <row r="38" spans="1:5" x14ac:dyDescent="0.25">
      <c r="A38" t="s">
        <v>120</v>
      </c>
      <c r="B38" t="s">
        <v>49</v>
      </c>
      <c r="C38" t="s">
        <v>50</v>
      </c>
      <c r="D38" s="4">
        <v>45482</v>
      </c>
      <c r="E38">
        <v>1126.08</v>
      </c>
    </row>
    <row r="39" spans="1:5" x14ac:dyDescent="0.25">
      <c r="A39" t="s">
        <v>122</v>
      </c>
      <c r="B39" t="s">
        <v>171</v>
      </c>
      <c r="C39" t="s">
        <v>16</v>
      </c>
      <c r="D39" s="4">
        <v>45547</v>
      </c>
      <c r="E39">
        <v>401.03</v>
      </c>
    </row>
    <row r="40" spans="1:5" x14ac:dyDescent="0.25">
      <c r="A40" t="s">
        <v>124</v>
      </c>
      <c r="B40" t="s">
        <v>49</v>
      </c>
      <c r="C40" t="s">
        <v>50</v>
      </c>
      <c r="D40" s="4">
        <v>45567</v>
      </c>
      <c r="E40">
        <v>180.72</v>
      </c>
    </row>
    <row r="41" spans="1:5" x14ac:dyDescent="0.25">
      <c r="A41" t="s">
        <v>127</v>
      </c>
      <c r="B41" t="s">
        <v>49</v>
      </c>
      <c r="C41" t="s">
        <v>50</v>
      </c>
      <c r="D41" s="4">
        <v>45349</v>
      </c>
      <c r="E41">
        <v>366.1</v>
      </c>
    </row>
    <row r="42" spans="1:5" x14ac:dyDescent="0.25">
      <c r="A42" t="s">
        <v>129</v>
      </c>
      <c r="B42" t="s">
        <v>19</v>
      </c>
      <c r="C42" t="s">
        <v>20</v>
      </c>
      <c r="D42" s="4">
        <v>45582</v>
      </c>
      <c r="E42">
        <v>1099.93</v>
      </c>
    </row>
    <row r="43" spans="1:5" x14ac:dyDescent="0.25">
      <c r="A43" t="s">
        <v>131</v>
      </c>
      <c r="B43" t="s">
        <v>172</v>
      </c>
      <c r="C43" t="s">
        <v>31</v>
      </c>
      <c r="D43" s="4">
        <v>45529</v>
      </c>
      <c r="E43">
        <v>632.46</v>
      </c>
    </row>
    <row r="44" spans="1:5" x14ac:dyDescent="0.25">
      <c r="A44" t="s">
        <v>133</v>
      </c>
      <c r="B44" t="s">
        <v>172</v>
      </c>
      <c r="C44" t="s">
        <v>135</v>
      </c>
      <c r="D44" s="4">
        <v>45552</v>
      </c>
      <c r="E44">
        <v>904.86</v>
      </c>
    </row>
    <row r="45" spans="1:5" x14ac:dyDescent="0.25">
      <c r="A45" t="s">
        <v>137</v>
      </c>
      <c r="B45" t="s">
        <v>176</v>
      </c>
      <c r="C45" t="s">
        <v>31</v>
      </c>
      <c r="D45" s="4">
        <v>45538</v>
      </c>
      <c r="E45">
        <v>1134.8599999999999</v>
      </c>
    </row>
    <row r="46" spans="1:5" x14ac:dyDescent="0.25">
      <c r="A46" t="s">
        <v>140</v>
      </c>
      <c r="B46" t="s">
        <v>73</v>
      </c>
      <c r="C46" t="s">
        <v>63</v>
      </c>
      <c r="D46" s="4">
        <v>45645</v>
      </c>
      <c r="E46">
        <v>1016.65</v>
      </c>
    </row>
    <row r="47" spans="1:5" x14ac:dyDescent="0.25">
      <c r="A47" t="s">
        <v>141</v>
      </c>
      <c r="B47" t="s">
        <v>171</v>
      </c>
      <c r="C47" t="s">
        <v>16</v>
      </c>
      <c r="D47" s="4">
        <v>45487</v>
      </c>
      <c r="E47">
        <v>257.19</v>
      </c>
    </row>
    <row r="48" spans="1:5" x14ac:dyDescent="0.25">
      <c r="A48" t="s">
        <v>143</v>
      </c>
      <c r="B48" t="s">
        <v>173</v>
      </c>
      <c r="C48" t="s">
        <v>144</v>
      </c>
      <c r="D48" s="4">
        <v>45641</v>
      </c>
      <c r="E48">
        <v>24.15</v>
      </c>
    </row>
    <row r="49" spans="1:5" x14ac:dyDescent="0.25">
      <c r="A49" t="s">
        <v>146</v>
      </c>
      <c r="B49" t="s">
        <v>175</v>
      </c>
      <c r="C49" t="s">
        <v>102</v>
      </c>
      <c r="D49" s="4">
        <v>45341</v>
      </c>
      <c r="E49">
        <v>946.85</v>
      </c>
    </row>
    <row r="50" spans="1:5" x14ac:dyDescent="0.25">
      <c r="A50" t="s">
        <v>148</v>
      </c>
      <c r="B50" t="s">
        <v>49</v>
      </c>
      <c r="C50" t="s">
        <v>50</v>
      </c>
      <c r="D50" s="4">
        <v>45372</v>
      </c>
      <c r="E50">
        <v>425.98</v>
      </c>
    </row>
    <row r="51" spans="1:5" x14ac:dyDescent="0.25">
      <c r="A51" t="s">
        <v>152</v>
      </c>
      <c r="B51" t="s">
        <v>175</v>
      </c>
      <c r="C51" t="s">
        <v>102</v>
      </c>
      <c r="D51" s="4">
        <v>45333</v>
      </c>
      <c r="E51">
        <v>956.14</v>
      </c>
    </row>
    <row r="52" spans="1:5" x14ac:dyDescent="0.25">
      <c r="A52" t="s">
        <v>154</v>
      </c>
      <c r="B52" t="s">
        <v>55</v>
      </c>
      <c r="C52" t="s">
        <v>24</v>
      </c>
      <c r="D52" s="4">
        <v>45460</v>
      </c>
      <c r="E52">
        <v>723.5</v>
      </c>
    </row>
    <row r="53" spans="1:5" x14ac:dyDescent="0.25">
      <c r="A53" t="s">
        <v>157</v>
      </c>
      <c r="B53" t="s">
        <v>78</v>
      </c>
      <c r="C53" t="s">
        <v>158</v>
      </c>
      <c r="D53" s="4">
        <v>45461</v>
      </c>
      <c r="E53">
        <v>1170.76</v>
      </c>
    </row>
    <row r="54" spans="1:5" x14ac:dyDescent="0.25">
      <c r="A54" t="s">
        <v>159</v>
      </c>
      <c r="B54" t="s">
        <v>55</v>
      </c>
      <c r="C54" t="s">
        <v>24</v>
      </c>
      <c r="D54" s="4">
        <v>45604</v>
      </c>
      <c r="E54">
        <v>784.29</v>
      </c>
    </row>
    <row r="55" spans="1:5" x14ac:dyDescent="0.25">
      <c r="A55" t="s">
        <v>161</v>
      </c>
      <c r="B55" t="s">
        <v>78</v>
      </c>
      <c r="C55" t="s">
        <v>46</v>
      </c>
      <c r="D55" s="4">
        <v>45326</v>
      </c>
      <c r="E55">
        <v>355.31</v>
      </c>
    </row>
    <row r="56" spans="1:5" x14ac:dyDescent="0.25">
      <c r="A56" t="s">
        <v>163</v>
      </c>
      <c r="B56" t="s">
        <v>73</v>
      </c>
      <c r="C56" t="s">
        <v>63</v>
      </c>
      <c r="D56" s="4">
        <v>45520</v>
      </c>
      <c r="E56">
        <v>553.75</v>
      </c>
    </row>
    <row r="57" spans="1:5" x14ac:dyDescent="0.25">
      <c r="A57" t="s">
        <v>164</v>
      </c>
      <c r="B57" t="s">
        <v>55</v>
      </c>
      <c r="C57" t="s">
        <v>24</v>
      </c>
      <c r="D57" s="4">
        <v>45451</v>
      </c>
      <c r="E57">
        <v>220.74</v>
      </c>
    </row>
    <row r="58" spans="1:5" x14ac:dyDescent="0.25">
      <c r="A58" t="s">
        <v>165</v>
      </c>
      <c r="B58" t="s">
        <v>73</v>
      </c>
      <c r="C58" t="s">
        <v>63</v>
      </c>
      <c r="D58" s="4">
        <v>45413</v>
      </c>
      <c r="E58">
        <v>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601B-6E3F-438F-B682-87977495D291}">
  <dimension ref="A1:E59"/>
  <sheetViews>
    <sheetView topLeftCell="A39" workbookViewId="0">
      <selection activeCell="G11" sqref="G11"/>
    </sheetView>
  </sheetViews>
  <sheetFormatPr defaultRowHeight="15" x14ac:dyDescent="0.25"/>
  <cols>
    <col min="1" max="1" width="14" customWidth="1"/>
    <col min="2" max="2" width="17.42578125" customWidth="1"/>
    <col min="3" max="3" width="29.7109375" bestFit="1" customWidth="1"/>
    <col min="4" max="4" width="12.85546875" style="7" customWidth="1"/>
    <col min="5" max="5" width="16.7109375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6" t="s">
        <v>12</v>
      </c>
      <c r="E1" s="1" t="s">
        <v>13</v>
      </c>
    </row>
    <row r="2" spans="1:5" x14ac:dyDescent="0.25">
      <c r="A2" s="2" t="s">
        <v>14</v>
      </c>
      <c r="B2" s="2" t="s">
        <v>179</v>
      </c>
      <c r="C2" s="2" t="s">
        <v>16</v>
      </c>
      <c r="D2" s="5">
        <v>45402</v>
      </c>
      <c r="E2" s="8">
        <v>808.68</v>
      </c>
    </row>
    <row r="3" spans="1:5" x14ac:dyDescent="0.25">
      <c r="A3" s="2" t="s">
        <v>18</v>
      </c>
      <c r="B3" s="2" t="s">
        <v>19</v>
      </c>
      <c r="C3" s="2" t="s">
        <v>20</v>
      </c>
      <c r="D3" s="5">
        <v>45566</v>
      </c>
      <c r="E3" s="8">
        <v>329.06</v>
      </c>
    </row>
    <row r="4" spans="1:5" x14ac:dyDescent="0.25">
      <c r="A4" s="2" t="s">
        <v>26</v>
      </c>
      <c r="B4" s="2" t="s">
        <v>179</v>
      </c>
      <c r="C4" s="2" t="s">
        <v>16</v>
      </c>
      <c r="D4" s="5">
        <v>45547</v>
      </c>
      <c r="E4" s="8">
        <v>745.19</v>
      </c>
    </row>
    <row r="5" spans="1:5" x14ac:dyDescent="0.25">
      <c r="A5" s="2" t="s">
        <v>29</v>
      </c>
      <c r="B5" s="2" t="s">
        <v>172</v>
      </c>
      <c r="C5" s="2" t="s">
        <v>31</v>
      </c>
      <c r="D5" s="5">
        <v>45563</v>
      </c>
      <c r="E5" s="8">
        <v>143.93</v>
      </c>
    </row>
    <row r="6" spans="1:5" x14ac:dyDescent="0.25">
      <c r="A6" s="2" t="s">
        <v>33</v>
      </c>
      <c r="B6" s="2" t="s">
        <v>19</v>
      </c>
      <c r="C6" s="2" t="s">
        <v>20</v>
      </c>
      <c r="D6" s="5">
        <v>45645</v>
      </c>
      <c r="E6" s="8">
        <v>972.03</v>
      </c>
    </row>
    <row r="7" spans="1:5" x14ac:dyDescent="0.25">
      <c r="A7" s="2" t="s">
        <v>35</v>
      </c>
      <c r="B7" s="2" t="s">
        <v>179</v>
      </c>
      <c r="C7" s="2" t="s">
        <v>16</v>
      </c>
      <c r="D7" s="5">
        <v>45571</v>
      </c>
      <c r="E7" s="8">
        <v>771.61</v>
      </c>
    </row>
    <row r="8" spans="1:5" x14ac:dyDescent="0.25">
      <c r="A8" s="2" t="s">
        <v>37</v>
      </c>
      <c r="B8" s="2" t="s">
        <v>178</v>
      </c>
      <c r="C8" s="2" t="s">
        <v>39</v>
      </c>
      <c r="D8" s="5">
        <v>45297</v>
      </c>
      <c r="E8" s="8">
        <v>176.05</v>
      </c>
    </row>
    <row r="9" spans="1:5" x14ac:dyDescent="0.25">
      <c r="A9" s="2" t="s">
        <v>41</v>
      </c>
      <c r="B9" s="2" t="s">
        <v>177</v>
      </c>
      <c r="C9" s="2" t="s">
        <v>180</v>
      </c>
      <c r="D9" s="5">
        <v>45541</v>
      </c>
      <c r="E9" s="8">
        <v>646.22</v>
      </c>
    </row>
    <row r="10" spans="1:5" x14ac:dyDescent="0.25">
      <c r="A10" s="2" t="s">
        <v>44</v>
      </c>
      <c r="B10" s="2" t="s">
        <v>78</v>
      </c>
      <c r="C10" s="2" t="s">
        <v>46</v>
      </c>
      <c r="D10" s="5">
        <v>45410</v>
      </c>
      <c r="E10" s="8">
        <v>967.35</v>
      </c>
    </row>
    <row r="11" spans="1:5" x14ac:dyDescent="0.25">
      <c r="A11" s="2" t="s">
        <v>48</v>
      </c>
      <c r="B11" s="2" t="s">
        <v>49</v>
      </c>
      <c r="C11" s="2" t="s">
        <v>50</v>
      </c>
      <c r="D11" s="5">
        <v>45439</v>
      </c>
      <c r="E11" s="8">
        <v>1193.8599999999999</v>
      </c>
    </row>
    <row r="12" spans="1:5" x14ac:dyDescent="0.25">
      <c r="A12" s="2" t="s">
        <v>54</v>
      </c>
      <c r="B12" s="2" t="s">
        <v>55</v>
      </c>
      <c r="C12" s="2" t="s">
        <v>24</v>
      </c>
      <c r="D12" s="5">
        <v>45577</v>
      </c>
      <c r="E12" s="8">
        <v>251.93</v>
      </c>
    </row>
    <row r="13" spans="1:5" x14ac:dyDescent="0.25">
      <c r="A13" s="2" t="s">
        <v>57</v>
      </c>
      <c r="B13" s="2" t="s">
        <v>55</v>
      </c>
      <c r="C13" s="2" t="s">
        <v>24</v>
      </c>
      <c r="D13" s="5">
        <v>45409</v>
      </c>
      <c r="E13" s="8">
        <v>1174.71</v>
      </c>
    </row>
    <row r="14" spans="1:5" x14ac:dyDescent="0.25">
      <c r="A14" s="2" t="s">
        <v>59</v>
      </c>
      <c r="B14" s="2" t="s">
        <v>177</v>
      </c>
      <c r="C14" s="2" t="s">
        <v>180</v>
      </c>
      <c r="D14" s="5">
        <v>45528</v>
      </c>
      <c r="E14" s="8">
        <v>787.82</v>
      </c>
    </row>
    <row r="15" spans="1:5" x14ac:dyDescent="0.25">
      <c r="A15" s="2" t="s">
        <v>61</v>
      </c>
      <c r="B15" s="2" t="s">
        <v>73</v>
      </c>
      <c r="C15" s="2" t="s">
        <v>63</v>
      </c>
      <c r="D15" s="5">
        <v>45466</v>
      </c>
      <c r="E15" s="8">
        <v>66.650000000000006</v>
      </c>
    </row>
    <row r="16" spans="1:5" x14ac:dyDescent="0.25">
      <c r="A16" s="2" t="s">
        <v>65</v>
      </c>
      <c r="B16" s="2" t="s">
        <v>177</v>
      </c>
      <c r="C16" s="2" t="s">
        <v>180</v>
      </c>
      <c r="D16" s="5">
        <v>45513</v>
      </c>
      <c r="E16" s="8">
        <v>418.1</v>
      </c>
    </row>
    <row r="17" spans="1:5" x14ac:dyDescent="0.25">
      <c r="A17" s="2" t="s">
        <v>68</v>
      </c>
      <c r="B17" s="2" t="s">
        <v>55</v>
      </c>
      <c r="C17" s="2" t="s">
        <v>24</v>
      </c>
      <c r="D17" s="5">
        <v>45304</v>
      </c>
      <c r="E17" s="8">
        <v>947</v>
      </c>
    </row>
    <row r="18" spans="1:5" x14ac:dyDescent="0.25">
      <c r="A18" s="2" t="s">
        <v>70</v>
      </c>
      <c r="B18" s="2" t="s">
        <v>178</v>
      </c>
      <c r="C18" s="2" t="s">
        <v>39</v>
      </c>
      <c r="D18" s="5">
        <v>45457</v>
      </c>
      <c r="E18" s="8">
        <v>229.24</v>
      </c>
    </row>
    <row r="19" spans="1:5" x14ac:dyDescent="0.25">
      <c r="A19" s="2" t="s">
        <v>72</v>
      </c>
      <c r="B19" s="2" t="s">
        <v>73</v>
      </c>
      <c r="C19" s="2" t="s">
        <v>63</v>
      </c>
      <c r="D19" s="5">
        <v>45606</v>
      </c>
      <c r="E19" s="8">
        <v>953.82</v>
      </c>
    </row>
    <row r="20" spans="1:5" x14ac:dyDescent="0.25">
      <c r="A20" s="2" t="s">
        <v>75</v>
      </c>
      <c r="B20" s="2" t="s">
        <v>55</v>
      </c>
      <c r="C20" s="2" t="s">
        <v>24</v>
      </c>
      <c r="D20" s="5">
        <v>45463</v>
      </c>
      <c r="E20" s="8">
        <v>724.93</v>
      </c>
    </row>
    <row r="21" spans="1:5" x14ac:dyDescent="0.25">
      <c r="A21" s="2" t="s">
        <v>77</v>
      </c>
      <c r="B21" s="2" t="s">
        <v>78</v>
      </c>
      <c r="C21" s="2" t="s">
        <v>46</v>
      </c>
      <c r="D21" s="5">
        <v>45327</v>
      </c>
      <c r="E21" s="8">
        <v>406.29</v>
      </c>
    </row>
    <row r="22" spans="1:5" x14ac:dyDescent="0.25">
      <c r="A22" s="2" t="s">
        <v>80</v>
      </c>
      <c r="B22" s="2" t="s">
        <v>179</v>
      </c>
      <c r="C22" s="2" t="s">
        <v>16</v>
      </c>
      <c r="D22" s="5">
        <v>45602</v>
      </c>
      <c r="E22" s="8">
        <v>1117.32</v>
      </c>
    </row>
    <row r="23" spans="1:5" x14ac:dyDescent="0.25">
      <c r="A23" s="2" t="s">
        <v>83</v>
      </c>
      <c r="B23" s="2" t="s">
        <v>19</v>
      </c>
      <c r="C23" s="2" t="s">
        <v>20</v>
      </c>
      <c r="D23" s="5">
        <v>45520</v>
      </c>
      <c r="E23" s="8">
        <v>516.46</v>
      </c>
    </row>
    <row r="24" spans="1:5" x14ac:dyDescent="0.25">
      <c r="A24" s="2" t="s">
        <v>85</v>
      </c>
      <c r="B24" s="2" t="s">
        <v>78</v>
      </c>
      <c r="C24" s="2" t="s">
        <v>46</v>
      </c>
      <c r="D24" s="5">
        <v>45461</v>
      </c>
      <c r="E24" s="8">
        <v>213.45</v>
      </c>
    </row>
    <row r="25" spans="1:5" x14ac:dyDescent="0.25">
      <c r="A25" s="2" t="s">
        <v>87</v>
      </c>
      <c r="B25" s="2" t="s">
        <v>178</v>
      </c>
      <c r="C25" s="2" t="s">
        <v>39</v>
      </c>
      <c r="D25" s="5">
        <v>45339</v>
      </c>
      <c r="E25" s="8">
        <v>592.21</v>
      </c>
    </row>
    <row r="26" spans="1:5" x14ac:dyDescent="0.25">
      <c r="A26" s="2" t="s">
        <v>90</v>
      </c>
      <c r="B26" s="2" t="s">
        <v>73</v>
      </c>
      <c r="C26" s="2" t="s">
        <v>63</v>
      </c>
      <c r="D26" s="5">
        <v>45303</v>
      </c>
      <c r="E26" s="8">
        <v>723.15</v>
      </c>
    </row>
    <row r="27" spans="1:5" x14ac:dyDescent="0.25">
      <c r="A27" s="2" t="s">
        <v>92</v>
      </c>
      <c r="B27" s="2" t="s">
        <v>177</v>
      </c>
      <c r="C27" s="2" t="s">
        <v>180</v>
      </c>
      <c r="D27" s="5">
        <v>45468</v>
      </c>
      <c r="E27" s="8">
        <v>364.1</v>
      </c>
    </row>
    <row r="28" spans="1:5" x14ac:dyDescent="0.25">
      <c r="A28" s="2" t="s">
        <v>94</v>
      </c>
      <c r="B28" s="2" t="s">
        <v>177</v>
      </c>
      <c r="C28" s="2" t="s">
        <v>180</v>
      </c>
      <c r="D28" s="5">
        <v>45462</v>
      </c>
      <c r="E28" s="8">
        <v>845.77</v>
      </c>
    </row>
    <row r="29" spans="1:5" x14ac:dyDescent="0.25">
      <c r="A29" s="2" t="s">
        <v>98</v>
      </c>
      <c r="B29" s="2" t="s">
        <v>49</v>
      </c>
      <c r="C29" s="2" t="s">
        <v>50</v>
      </c>
      <c r="D29" s="5">
        <v>45633</v>
      </c>
      <c r="E29" s="8">
        <v>992.34</v>
      </c>
    </row>
    <row r="30" spans="1:5" x14ac:dyDescent="0.25">
      <c r="A30" s="2" t="s">
        <v>100</v>
      </c>
      <c r="B30" s="2" t="s">
        <v>175</v>
      </c>
      <c r="C30" s="2" t="s">
        <v>102</v>
      </c>
      <c r="D30" s="5">
        <v>45541</v>
      </c>
      <c r="E30" s="8">
        <v>91.3</v>
      </c>
    </row>
    <row r="31" spans="1:5" x14ac:dyDescent="0.25">
      <c r="A31" s="2" t="s">
        <v>104</v>
      </c>
      <c r="B31" s="2" t="s">
        <v>19</v>
      </c>
      <c r="C31" s="2" t="s">
        <v>20</v>
      </c>
      <c r="D31" s="5">
        <v>45362</v>
      </c>
      <c r="E31" s="8">
        <v>84.49</v>
      </c>
    </row>
    <row r="32" spans="1:5" x14ac:dyDescent="0.25">
      <c r="A32" s="2" t="s">
        <v>107</v>
      </c>
      <c r="B32" s="2" t="s">
        <v>177</v>
      </c>
      <c r="C32" s="2" t="s">
        <v>180</v>
      </c>
      <c r="D32" s="5">
        <v>45467</v>
      </c>
      <c r="E32" s="8">
        <v>584.33000000000004</v>
      </c>
    </row>
    <row r="33" spans="1:5" x14ac:dyDescent="0.25">
      <c r="A33" s="2" t="s">
        <v>109</v>
      </c>
      <c r="B33" s="2" t="s">
        <v>172</v>
      </c>
      <c r="C33" s="2" t="s">
        <v>31</v>
      </c>
      <c r="D33" s="5">
        <v>45612</v>
      </c>
      <c r="E33" s="8">
        <v>358.12</v>
      </c>
    </row>
    <row r="34" spans="1:5" x14ac:dyDescent="0.25">
      <c r="A34" s="2" t="s">
        <v>111</v>
      </c>
      <c r="B34" s="2" t="s">
        <v>19</v>
      </c>
      <c r="C34" s="2" t="s">
        <v>20</v>
      </c>
      <c r="D34" s="5">
        <v>45492</v>
      </c>
      <c r="E34" s="8">
        <v>1184.45</v>
      </c>
    </row>
    <row r="35" spans="1:5" x14ac:dyDescent="0.25">
      <c r="A35" s="2" t="s">
        <v>113</v>
      </c>
      <c r="B35" s="2" t="s">
        <v>175</v>
      </c>
      <c r="C35" s="2" t="s">
        <v>102</v>
      </c>
      <c r="D35" s="5">
        <v>45622</v>
      </c>
      <c r="E35" s="8">
        <v>321.77</v>
      </c>
    </row>
    <row r="36" spans="1:5" x14ac:dyDescent="0.25">
      <c r="A36" s="2" t="s">
        <v>116</v>
      </c>
      <c r="B36" s="2" t="s">
        <v>179</v>
      </c>
      <c r="C36" s="2" t="s">
        <v>16</v>
      </c>
      <c r="D36" s="5">
        <v>45324</v>
      </c>
      <c r="E36" s="8">
        <v>718.74</v>
      </c>
    </row>
    <row r="37" spans="1:5" x14ac:dyDescent="0.25">
      <c r="A37" s="2" t="s">
        <v>118</v>
      </c>
      <c r="B37" s="2" t="s">
        <v>73</v>
      </c>
      <c r="C37" s="2" t="s">
        <v>63</v>
      </c>
      <c r="D37" s="5">
        <v>45637</v>
      </c>
      <c r="E37" s="8">
        <v>123.29</v>
      </c>
    </row>
    <row r="38" spans="1:5" x14ac:dyDescent="0.25">
      <c r="A38" s="2" t="s">
        <v>120</v>
      </c>
      <c r="B38" s="2" t="s">
        <v>49</v>
      </c>
      <c r="C38" s="2" t="s">
        <v>50</v>
      </c>
      <c r="D38" s="5">
        <v>45482</v>
      </c>
      <c r="E38" s="8">
        <v>1126.08</v>
      </c>
    </row>
    <row r="39" spans="1:5" x14ac:dyDescent="0.25">
      <c r="A39" s="2" t="s">
        <v>122</v>
      </c>
      <c r="B39" s="2" t="s">
        <v>179</v>
      </c>
      <c r="C39" s="2" t="s">
        <v>16</v>
      </c>
      <c r="D39" s="5">
        <v>45547</v>
      </c>
      <c r="E39" s="8">
        <v>401.03</v>
      </c>
    </row>
    <row r="40" spans="1:5" x14ac:dyDescent="0.25">
      <c r="A40" s="2" t="s">
        <v>124</v>
      </c>
      <c r="B40" s="2" t="s">
        <v>49</v>
      </c>
      <c r="C40" s="2" t="s">
        <v>50</v>
      </c>
      <c r="D40" s="5">
        <v>45567</v>
      </c>
      <c r="E40" s="8">
        <v>180.72</v>
      </c>
    </row>
    <row r="41" spans="1:5" x14ac:dyDescent="0.25">
      <c r="A41" s="2" t="s">
        <v>127</v>
      </c>
      <c r="B41" s="2" t="s">
        <v>49</v>
      </c>
      <c r="C41" s="2" t="s">
        <v>50</v>
      </c>
      <c r="D41" s="5">
        <v>45349</v>
      </c>
      <c r="E41" s="8">
        <v>366.1</v>
      </c>
    </row>
    <row r="42" spans="1:5" x14ac:dyDescent="0.25">
      <c r="A42" s="2" t="s">
        <v>129</v>
      </c>
      <c r="B42" s="2" t="s">
        <v>19</v>
      </c>
      <c r="C42" s="2" t="s">
        <v>20</v>
      </c>
      <c r="D42" s="5">
        <v>45582</v>
      </c>
      <c r="E42" s="8">
        <v>1099.93</v>
      </c>
    </row>
    <row r="43" spans="1:5" x14ac:dyDescent="0.25">
      <c r="A43" s="2" t="s">
        <v>131</v>
      </c>
      <c r="B43" s="2" t="s">
        <v>172</v>
      </c>
      <c r="C43" s="2" t="s">
        <v>31</v>
      </c>
      <c r="D43" s="5">
        <v>45529</v>
      </c>
      <c r="E43" s="8">
        <v>632.46</v>
      </c>
    </row>
    <row r="44" spans="1:5" x14ac:dyDescent="0.25">
      <c r="A44" s="2" t="s">
        <v>133</v>
      </c>
      <c r="B44" s="2" t="s">
        <v>172</v>
      </c>
      <c r="C44" s="2" t="s">
        <v>135</v>
      </c>
      <c r="D44" s="5">
        <v>45552</v>
      </c>
      <c r="E44" s="8">
        <v>904.86</v>
      </c>
    </row>
    <row r="45" spans="1:5" x14ac:dyDescent="0.25">
      <c r="A45" s="2" t="s">
        <v>137</v>
      </c>
      <c r="B45" s="2" t="s">
        <v>172</v>
      </c>
      <c r="C45" s="2" t="s">
        <v>31</v>
      </c>
      <c r="D45" s="5">
        <v>45538</v>
      </c>
      <c r="E45" s="8">
        <v>1134.8599999999999</v>
      </c>
    </row>
    <row r="46" spans="1:5" x14ac:dyDescent="0.25">
      <c r="A46" s="2" t="s">
        <v>140</v>
      </c>
      <c r="B46" s="2" t="s">
        <v>73</v>
      </c>
      <c r="C46" s="2" t="s">
        <v>63</v>
      </c>
      <c r="D46" s="5">
        <v>45645</v>
      </c>
      <c r="E46" s="8">
        <v>1016.65</v>
      </c>
    </row>
    <row r="47" spans="1:5" x14ac:dyDescent="0.25">
      <c r="A47" s="2" t="s">
        <v>141</v>
      </c>
      <c r="B47" s="2" t="s">
        <v>179</v>
      </c>
      <c r="C47" s="2" t="s">
        <v>16</v>
      </c>
      <c r="D47" s="5">
        <v>45487</v>
      </c>
      <c r="E47" s="8">
        <v>257.19</v>
      </c>
    </row>
    <row r="48" spans="1:5" x14ac:dyDescent="0.25">
      <c r="A48" s="2" t="s">
        <v>143</v>
      </c>
      <c r="B48" s="2" t="s">
        <v>178</v>
      </c>
      <c r="C48" s="2" t="s">
        <v>144</v>
      </c>
      <c r="D48" s="5">
        <v>45641</v>
      </c>
      <c r="E48" s="8">
        <v>24.15</v>
      </c>
    </row>
    <row r="49" spans="1:5" x14ac:dyDescent="0.25">
      <c r="A49" s="2" t="s">
        <v>146</v>
      </c>
      <c r="B49" s="2" t="s">
        <v>175</v>
      </c>
      <c r="C49" s="2" t="s">
        <v>102</v>
      </c>
      <c r="D49" s="5">
        <v>45341</v>
      </c>
      <c r="E49" s="8">
        <v>946.85</v>
      </c>
    </row>
    <row r="50" spans="1:5" x14ac:dyDescent="0.25">
      <c r="A50" s="2" t="s">
        <v>148</v>
      </c>
      <c r="B50" s="2" t="s">
        <v>49</v>
      </c>
      <c r="C50" s="2" t="s">
        <v>50</v>
      </c>
      <c r="D50" s="5">
        <v>45372</v>
      </c>
      <c r="E50" s="8">
        <v>425.98</v>
      </c>
    </row>
    <row r="51" spans="1:5" x14ac:dyDescent="0.25">
      <c r="A51" s="2" t="s">
        <v>152</v>
      </c>
      <c r="B51" s="2" t="s">
        <v>175</v>
      </c>
      <c r="C51" s="2" t="s">
        <v>102</v>
      </c>
      <c r="D51" s="5">
        <v>45333</v>
      </c>
      <c r="E51" s="8">
        <v>956.14</v>
      </c>
    </row>
    <row r="52" spans="1:5" x14ac:dyDescent="0.25">
      <c r="A52" s="2" t="s">
        <v>154</v>
      </c>
      <c r="B52" s="2" t="s">
        <v>55</v>
      </c>
      <c r="C52" s="2" t="s">
        <v>24</v>
      </c>
      <c r="D52" s="5">
        <v>45460</v>
      </c>
      <c r="E52" s="8">
        <v>723.5</v>
      </c>
    </row>
    <row r="53" spans="1:5" x14ac:dyDescent="0.25">
      <c r="A53" s="2" t="s">
        <v>157</v>
      </c>
      <c r="B53" s="2" t="s">
        <v>78</v>
      </c>
      <c r="C53" s="2" t="s">
        <v>158</v>
      </c>
      <c r="D53" s="5">
        <v>45461</v>
      </c>
      <c r="E53" s="8">
        <v>1170.76</v>
      </c>
    </row>
    <row r="54" spans="1:5" x14ac:dyDescent="0.25">
      <c r="A54" s="2" t="s">
        <v>159</v>
      </c>
      <c r="B54" s="2" t="s">
        <v>55</v>
      </c>
      <c r="C54" s="2" t="s">
        <v>24</v>
      </c>
      <c r="D54" s="5">
        <v>45604</v>
      </c>
      <c r="E54" s="8">
        <v>784.29</v>
      </c>
    </row>
    <row r="55" spans="1:5" x14ac:dyDescent="0.25">
      <c r="A55" s="2" t="s">
        <v>161</v>
      </c>
      <c r="B55" s="2" t="s">
        <v>78</v>
      </c>
      <c r="C55" s="2" t="s">
        <v>46</v>
      </c>
      <c r="D55" s="5">
        <v>45326</v>
      </c>
      <c r="E55" s="8">
        <v>355.31</v>
      </c>
    </row>
    <row r="56" spans="1:5" x14ac:dyDescent="0.25">
      <c r="A56" s="2" t="s">
        <v>163</v>
      </c>
      <c r="B56" s="2" t="s">
        <v>73</v>
      </c>
      <c r="C56" s="2" t="s">
        <v>63</v>
      </c>
      <c r="D56" s="5">
        <v>45520</v>
      </c>
      <c r="E56" s="8">
        <v>553.75</v>
      </c>
    </row>
    <row r="57" spans="1:5" x14ac:dyDescent="0.25">
      <c r="A57" s="2" t="s">
        <v>164</v>
      </c>
      <c r="B57" s="2" t="s">
        <v>55</v>
      </c>
      <c r="C57" s="2" t="s">
        <v>24</v>
      </c>
      <c r="D57" s="5">
        <v>45451</v>
      </c>
      <c r="E57" s="8">
        <v>220.74</v>
      </c>
    </row>
    <row r="58" spans="1:5" x14ac:dyDescent="0.25">
      <c r="A58" s="2" t="s">
        <v>165</v>
      </c>
      <c r="B58" s="2" t="s">
        <v>73</v>
      </c>
      <c r="C58" s="2" t="s">
        <v>63</v>
      </c>
      <c r="D58" s="5">
        <v>45413</v>
      </c>
      <c r="E58" s="8">
        <v>250</v>
      </c>
    </row>
    <row r="59" spans="1:5" x14ac:dyDescent="0.25">
      <c r="A59" s="2" t="s">
        <v>167</v>
      </c>
      <c r="B59" s="2" t="s">
        <v>73</v>
      </c>
      <c r="C59" s="2" t="s">
        <v>63</v>
      </c>
      <c r="D59" s="5">
        <v>45413</v>
      </c>
      <c r="E59" s="8">
        <v>250</v>
      </c>
    </row>
  </sheetData>
  <conditionalFormatting sqref="E4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617B-9943-452B-B88C-B6CDE496FEFF}">
  <dimension ref="A1:D11"/>
  <sheetViews>
    <sheetView workbookViewId="0">
      <selection activeCell="A2" sqref="A2"/>
    </sheetView>
  </sheetViews>
  <sheetFormatPr defaultRowHeight="15" x14ac:dyDescent="0.25"/>
  <cols>
    <col min="1" max="1" width="17.42578125" style="2" customWidth="1"/>
    <col min="2" max="2" width="29.7109375" style="2" bestFit="1" customWidth="1"/>
    <col min="3" max="3" width="13.140625" style="2" customWidth="1"/>
    <col min="4" max="4" width="13.140625" style="8" customWidth="1"/>
  </cols>
  <sheetData>
    <row r="1" spans="1:4" x14ac:dyDescent="0.25">
      <c r="A1" s="2" t="s">
        <v>10</v>
      </c>
      <c r="B1" s="2" t="s">
        <v>11</v>
      </c>
      <c r="C1" s="2" t="s">
        <v>181</v>
      </c>
      <c r="D1" s="8" t="s">
        <v>182</v>
      </c>
    </row>
    <row r="2" spans="1:4" x14ac:dyDescent="0.25">
      <c r="A2" s="2" t="s">
        <v>175</v>
      </c>
      <c r="B2" s="2" t="str">
        <f>_xlfn.XLOOKUP(A2,Table4[Customer Name],Table4[Email])</f>
        <v>charles.king@example.co.uk</v>
      </c>
      <c r="C2" s="2">
        <f>COUNTIF(Table4[Customer Name],Summary!A11)</f>
        <v>7</v>
      </c>
      <c r="D2" s="8">
        <f>SUMIF(Table4[Customer Name],Summary!A11,Table4[Order Value (£)])</f>
        <v>4819.7599999999993</v>
      </c>
    </row>
    <row r="3" spans="1:4" x14ac:dyDescent="0.25">
      <c r="A3" s="2" t="s">
        <v>73</v>
      </c>
      <c r="B3" s="2" t="str">
        <f>_xlfn.XLOOKUP(A3,Table4[Customer Name],Table4[Email])</f>
        <v>alice.green@example.co.uk</v>
      </c>
      <c r="C3" s="2">
        <f>COUNTIF(Table4[Customer Name],Summary!A10)</f>
        <v>6</v>
      </c>
      <c r="D3" s="8">
        <f>SUMIF(Table4[Customer Name],Summary!A10,Table4[Order Value (£)])</f>
        <v>4186.42</v>
      </c>
    </row>
    <row r="4" spans="1:4" x14ac:dyDescent="0.25">
      <c r="A4" s="2" t="s">
        <v>55</v>
      </c>
      <c r="B4" s="2" t="str">
        <f>_xlfn.XLOOKUP(A4,Table4[Customer Name],Table4[Email])</f>
        <v>gharris@example.co.uk</v>
      </c>
      <c r="C4" s="2">
        <f>COUNTIF(Table4[Customer Name],Summary!A9)</f>
        <v>5</v>
      </c>
      <c r="D4" s="8">
        <f>SUMIF(Table4[Customer Name],Summary!A9,Table4[Order Value (£)])</f>
        <v>3174.2299999999996</v>
      </c>
    </row>
    <row r="5" spans="1:4" x14ac:dyDescent="0.25">
      <c r="A5" s="2" t="s">
        <v>49</v>
      </c>
      <c r="B5" s="2" t="str">
        <f>_xlfn.XLOOKUP(A5,Table4[Customer Name],Table4[Email])</f>
        <v>jackobrien@example.co.uk</v>
      </c>
      <c r="C5" s="2">
        <f>COUNTIF(Table4[Customer Name],Summary!A8)</f>
        <v>4</v>
      </c>
      <c r="D5" s="8">
        <f>SUMIF(Table4[Customer Name],Summary!A8,Table4[Order Value (£)])</f>
        <v>1021.65</v>
      </c>
    </row>
    <row r="6" spans="1:4" x14ac:dyDescent="0.25">
      <c r="A6" s="2" t="s">
        <v>78</v>
      </c>
      <c r="B6" s="2" t="str">
        <f>_xlfn.XLOOKUP(A6,Table4[Customer Name],Table4[Email])</f>
        <v>deborah.oneil@example.co.uk</v>
      </c>
      <c r="C6" s="2">
        <f>COUNTIF(Table4[Customer Name],Summary!A7)</f>
        <v>6</v>
      </c>
      <c r="D6" s="8">
        <f>SUMIF(Table4[Customer Name],Summary!A7,Table4[Order Value (£)])</f>
        <v>3646.3399999999997</v>
      </c>
    </row>
    <row r="7" spans="1:4" x14ac:dyDescent="0.25">
      <c r="A7" s="2" t="s">
        <v>177</v>
      </c>
      <c r="B7" s="2" t="str">
        <f>_xlfn.XLOOKUP(A7,Table4[Customer Name],Table4[Email])</f>
        <v>ethan.smith@example.co.uk</v>
      </c>
      <c r="C7" s="2">
        <f>COUNTIF(Table4[Customer Name],Summary!A6)</f>
        <v>5</v>
      </c>
      <c r="D7" s="8">
        <f>SUMIF(Table4[Customer Name],Summary!A6,Table4[Order Value (£)])</f>
        <v>3113.1600000000003</v>
      </c>
    </row>
    <row r="8" spans="1:4" x14ac:dyDescent="0.25">
      <c r="A8" s="2" t="s">
        <v>178</v>
      </c>
      <c r="B8" s="2" t="str">
        <f>_xlfn.XLOOKUP(A8,Table4[Customer Name],Table4[Email])</f>
        <v>fiona@example.co.uk</v>
      </c>
      <c r="C8" s="2">
        <f>COUNTIF(Table4[Customer Name],Summary!A5)</f>
        <v>6</v>
      </c>
      <c r="D8" s="8">
        <f>SUMIF(Table4[Customer Name],Summary!A5,Table4[Order Value (£)])</f>
        <v>4285.08</v>
      </c>
    </row>
    <row r="9" spans="1:4" x14ac:dyDescent="0.25">
      <c r="A9" s="2" t="s">
        <v>172</v>
      </c>
      <c r="B9" s="2" t="str">
        <f>_xlfn.XLOOKUP(A9,Table4[Customer Name],Table4[Email])</f>
        <v>bob.taylor@example.co.uk</v>
      </c>
      <c r="C9" s="2">
        <f>COUNTIF(Table4[Customer Name],Summary!A4)</f>
        <v>7</v>
      </c>
      <c r="D9" s="8">
        <f>SUMIF(Table4[Customer Name],Summary!A4,Table4[Order Value (£)])</f>
        <v>4827.1000000000004</v>
      </c>
    </row>
    <row r="10" spans="1:4" x14ac:dyDescent="0.25">
      <c r="A10" s="2" t="s">
        <v>19</v>
      </c>
      <c r="B10" s="2" t="str">
        <f>_xlfn.XLOOKUP(A10,Table4[Customer Name],Table4[Email])</f>
        <v>isabel.oconnor@example.co.uk</v>
      </c>
      <c r="C10" s="2">
        <f>COUNTIF(Table4[Customer Name],Summary!A3)</f>
        <v>8</v>
      </c>
      <c r="D10" s="8">
        <f>SUMIF(Table4[Customer Name],Summary!A3,Table4[Order Value (£)])</f>
        <v>3937.31</v>
      </c>
    </row>
    <row r="11" spans="1:4" x14ac:dyDescent="0.25">
      <c r="A11" s="2" t="s">
        <v>179</v>
      </c>
      <c r="B11" s="2" t="str">
        <f>_xlfn.XLOOKUP(A11,Table4[Customer Name],Table4[Email])</f>
        <v>katie.lee@example.co.uk</v>
      </c>
      <c r="C11" s="2">
        <f>COUNTIF(Table4[Customer Name],Summary!A2)</f>
        <v>4</v>
      </c>
      <c r="D11" s="8">
        <f>SUMIF(Table4[Customer Name],Summary!A2,Table4[Order Value (£)])</f>
        <v>2316.06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278B-EE39-4E14-84B9-7DFA5106EFCD}">
  <dimension ref="A36:L51"/>
  <sheetViews>
    <sheetView tabSelected="1" workbookViewId="0">
      <selection activeCell="Q42" sqref="Q42"/>
    </sheetView>
  </sheetViews>
  <sheetFormatPr defaultRowHeight="15" x14ac:dyDescent="0.25"/>
  <sheetData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8.75" x14ac:dyDescent="0.3">
      <c r="A37" s="10"/>
      <c r="B37" s="10"/>
      <c r="C37" s="11" t="s">
        <v>183</v>
      </c>
      <c r="D37" s="11"/>
      <c r="E37" s="11"/>
      <c r="F37" s="11" t="s">
        <v>184</v>
      </c>
      <c r="G37" s="11"/>
      <c r="H37" s="11"/>
      <c r="I37" s="11" t="s">
        <v>185</v>
      </c>
      <c r="J37" s="11"/>
      <c r="K37" s="11"/>
      <c r="L37" s="10"/>
    </row>
    <row r="38" spans="1:12" ht="15.75" x14ac:dyDescent="0.25">
      <c r="A38" s="10"/>
      <c r="B38" s="10"/>
      <c r="C38" s="12" t="s">
        <v>186</v>
      </c>
      <c r="D38" s="12"/>
      <c r="E38" s="12"/>
      <c r="F38" s="12" t="s">
        <v>192</v>
      </c>
      <c r="G38" s="12"/>
      <c r="H38" s="12"/>
      <c r="I38" s="12" t="s">
        <v>179</v>
      </c>
      <c r="J38" s="12"/>
      <c r="K38" s="12"/>
      <c r="L38" s="10"/>
    </row>
    <row r="39" spans="1:12" ht="15.75" x14ac:dyDescent="0.25">
      <c r="A39" s="10"/>
      <c r="B39" s="10"/>
      <c r="C39" s="12" t="s">
        <v>187</v>
      </c>
      <c r="D39" s="12"/>
      <c r="E39" s="12"/>
      <c r="F39" s="13">
        <v>808.08</v>
      </c>
      <c r="G39" s="12"/>
      <c r="H39" s="12"/>
      <c r="I39" s="12">
        <v>808.08</v>
      </c>
      <c r="J39" s="12"/>
      <c r="K39" s="12"/>
      <c r="L39" s="10"/>
    </row>
    <row r="40" spans="1:12" ht="15.75" x14ac:dyDescent="0.25">
      <c r="A40" s="10"/>
      <c r="B40" s="10"/>
      <c r="C40" s="12" t="s">
        <v>188</v>
      </c>
      <c r="D40" s="12"/>
      <c r="E40" s="12"/>
      <c r="F40" s="14">
        <v>45402</v>
      </c>
      <c r="G40" s="12"/>
      <c r="H40" s="12"/>
      <c r="I40" s="14">
        <v>45402</v>
      </c>
      <c r="J40" s="12"/>
      <c r="K40" s="12"/>
      <c r="L40" s="10"/>
    </row>
    <row r="41" spans="1:12" ht="15.75" x14ac:dyDescent="0.25">
      <c r="A41" s="10"/>
      <c r="B41" s="10"/>
      <c r="C41" s="12" t="s">
        <v>189</v>
      </c>
      <c r="D41" s="12"/>
      <c r="E41" s="12"/>
      <c r="F41" s="15" t="s">
        <v>193</v>
      </c>
      <c r="G41" s="12"/>
      <c r="H41" s="12"/>
      <c r="I41" s="15" t="s">
        <v>196</v>
      </c>
      <c r="J41" s="12"/>
      <c r="K41" s="12"/>
      <c r="L41" s="10"/>
    </row>
    <row r="42" spans="1:12" ht="15.75" x14ac:dyDescent="0.25">
      <c r="A42" s="10"/>
      <c r="B42" s="10"/>
      <c r="C42" s="12" t="s">
        <v>190</v>
      </c>
      <c r="D42" s="12"/>
      <c r="E42" s="12"/>
      <c r="F42" s="12" t="s">
        <v>194</v>
      </c>
      <c r="G42" s="12"/>
      <c r="H42" s="12"/>
      <c r="I42" s="12" t="s">
        <v>197</v>
      </c>
      <c r="J42" s="12"/>
      <c r="K42" s="12"/>
      <c r="L42" s="10"/>
    </row>
    <row r="43" spans="1:12" ht="15.75" x14ac:dyDescent="0.25">
      <c r="A43" s="10"/>
      <c r="B43" s="10"/>
      <c r="C43" s="12" t="s">
        <v>191</v>
      </c>
      <c r="D43" s="12"/>
      <c r="E43" s="12"/>
      <c r="F43" s="12" t="s">
        <v>195</v>
      </c>
      <c r="G43" s="12"/>
      <c r="H43" s="12"/>
      <c r="I43" s="12" t="s">
        <v>198</v>
      </c>
      <c r="J43" s="12"/>
      <c r="K43" s="12"/>
      <c r="L43" s="10"/>
    </row>
    <row r="44" spans="1:12" x14ac:dyDescent="0.25">
      <c r="A44" s="10"/>
      <c r="B44" s="10"/>
      <c r="C44" s="16"/>
      <c r="D44" s="16"/>
      <c r="E44" s="16"/>
      <c r="F44" s="16"/>
      <c r="G44" s="16"/>
      <c r="H44" s="16"/>
      <c r="I44" s="16"/>
      <c r="J44" s="16"/>
      <c r="K44" s="16"/>
      <c r="L44" s="10"/>
    </row>
    <row r="45" spans="1:12" x14ac:dyDescent="0.25">
      <c r="C45" s="9"/>
      <c r="D45" s="9"/>
      <c r="E45" s="9"/>
      <c r="F45" s="9"/>
      <c r="G45" s="9"/>
      <c r="H45" s="9"/>
      <c r="I45" s="9"/>
      <c r="J45" s="9"/>
      <c r="K45" s="9"/>
    </row>
    <row r="46" spans="1:12" x14ac:dyDescent="0.25">
      <c r="C46" s="9"/>
      <c r="D46" s="9"/>
      <c r="E46" s="9"/>
      <c r="F46" s="9"/>
      <c r="G46" s="9"/>
      <c r="H46" s="9"/>
      <c r="I46" s="9"/>
      <c r="J46" s="9"/>
      <c r="K46" s="9"/>
    </row>
    <row r="47" spans="1:12" x14ac:dyDescent="0.25">
      <c r="C47" s="9"/>
      <c r="D47" s="9"/>
      <c r="E47" s="9"/>
      <c r="F47" s="9"/>
      <c r="G47" s="9"/>
      <c r="H47" s="9"/>
      <c r="I47" s="9"/>
      <c r="J47" s="9"/>
      <c r="K47" s="9"/>
    </row>
    <row r="48" spans="1:12" x14ac:dyDescent="0.25">
      <c r="C48" s="9"/>
      <c r="D48" s="9"/>
      <c r="E48" s="9"/>
      <c r="F48" s="9"/>
      <c r="G48" s="9"/>
      <c r="H48" s="9"/>
      <c r="I48" s="9"/>
      <c r="J48" s="9"/>
      <c r="K48" s="9"/>
    </row>
    <row r="49" spans="3:11" x14ac:dyDescent="0.25">
      <c r="C49" s="9"/>
      <c r="D49" s="9"/>
      <c r="E49" s="9"/>
      <c r="F49" s="9"/>
      <c r="G49" s="9"/>
      <c r="H49" s="9"/>
      <c r="I49" s="9"/>
      <c r="J49" s="9"/>
      <c r="K49" s="9"/>
    </row>
    <row r="50" spans="3:11" x14ac:dyDescent="0.25">
      <c r="C50" s="9"/>
      <c r="D50" s="9"/>
      <c r="E50" s="9"/>
      <c r="F50" s="9"/>
      <c r="G50" s="9"/>
      <c r="H50" s="9"/>
      <c r="I50" s="9"/>
      <c r="J50" s="9"/>
      <c r="K50" s="9"/>
    </row>
    <row r="51" spans="3:11" x14ac:dyDescent="0.25">
      <c r="C51" s="9"/>
      <c r="D51" s="9"/>
      <c r="E51" s="9"/>
      <c r="F51" s="9"/>
      <c r="G51" s="9"/>
      <c r="H51" s="9"/>
      <c r="I51" s="9"/>
      <c r="J51" s="9"/>
      <c r="K51" s="9"/>
    </row>
  </sheetData>
  <mergeCells count="21">
    <mergeCell ref="I38:K38"/>
    <mergeCell ref="I39:K39"/>
    <mergeCell ref="I40:K40"/>
    <mergeCell ref="I41:K41"/>
    <mergeCell ref="I42:K42"/>
    <mergeCell ref="I43:K43"/>
    <mergeCell ref="F43:H43"/>
    <mergeCell ref="F38:H38"/>
    <mergeCell ref="F39:H39"/>
    <mergeCell ref="F40:H40"/>
    <mergeCell ref="F41:H41"/>
    <mergeCell ref="F42:H42"/>
    <mergeCell ref="C41:E41"/>
    <mergeCell ref="C42:E42"/>
    <mergeCell ref="C43:E43"/>
    <mergeCell ref="C37:E37"/>
    <mergeCell ref="F37:H37"/>
    <mergeCell ref="I37:K37"/>
    <mergeCell ref="C38:E38"/>
    <mergeCell ref="C39:E39"/>
    <mergeCell ref="C40:E40"/>
  </mergeCells>
  <hyperlinks>
    <hyperlink ref="F41" r:id="rId1" xr:uid="{6066F315-6FC0-41CF-8C9F-A61402BF6D71}"/>
    <hyperlink ref="I41" r:id="rId2" xr:uid="{9C49F518-77A6-43B0-B1BE-586786F3BBA0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B0937-7D36-4DF4-A649-810B2030B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DirtyData</vt:lpstr>
      <vt:lpstr>Clean Data with Powe Query</vt:lpstr>
      <vt:lpstr>Clean Data Manually</vt:lpstr>
      <vt:lpstr>Summary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hashsham.abid1992@outlook.com</cp:lastModifiedBy>
  <dcterms:created xsi:type="dcterms:W3CDTF">2025-10-15T14:55:09Z</dcterms:created>
  <dcterms:modified xsi:type="dcterms:W3CDTF">2025-12-26T02:16:23Z</dcterms:modified>
</cp:coreProperties>
</file>