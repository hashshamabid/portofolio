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F:\Excel_Intermediate_Practice_Pack_UK\"/>
    </mc:Choice>
  </mc:AlternateContent>
  <xr:revisionPtr revIDLastSave="0" documentId="13_ncr:1_{331DAB0B-10CA-46D3-81EA-F40857C09F27}" xr6:coauthVersionLast="47" xr6:coauthVersionMax="47" xr10:uidLastSave="{00000000-0000-0000-0000-000000000000}"/>
  <bookViews>
    <workbookView xWindow="-120" yWindow="-120" windowWidth="20730" windowHeight="11160" firstSheet="4" activeTab="6" xr2:uid="{00000000-000D-0000-FFFF-FFFF00000000}"/>
  </bookViews>
  <sheets>
    <sheet name="Instructions" sheetId="1" r:id="rId1"/>
    <sheet name="Inventory" sheetId="2" r:id="rId2"/>
    <sheet name="Supplier" sheetId="3" r:id="rId3"/>
    <sheet name="Reorder Report" sheetId="4" r:id="rId4"/>
    <sheet name="PivotTable Inventory" sheetId="5" r:id="rId5"/>
    <sheet name="Pivot Table Reorder" sheetId="6" r:id="rId6"/>
    <sheet name="Dashboard" sheetId="7" r:id="rId7"/>
  </sheets>
  <calcPr calcId="191029"/>
  <pivotCaches>
    <pivotCache cacheId="16" r:id="rId8"/>
    <pivotCache cacheId="1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5" i="5"/>
  <c r="H3" i="4"/>
  <c r="H4" i="4"/>
  <c r="K4" i="4" s="1"/>
  <c r="H5" i="4"/>
  <c r="H6" i="4"/>
  <c r="K6" i="4" s="1"/>
  <c r="H7" i="4"/>
  <c r="H8" i="4"/>
  <c r="K8" i="4" s="1"/>
  <c r="H9" i="4"/>
  <c r="H10" i="4"/>
  <c r="K10" i="4" s="1"/>
  <c r="H11" i="4"/>
  <c r="H12" i="4"/>
  <c r="K12" i="4" s="1"/>
  <c r="H2" i="4"/>
  <c r="I3" i="2" a="1"/>
  <c r="I3" i="2"/>
  <c r="I4" i="2" a="1"/>
  <c r="I4" i="2"/>
  <c r="I6" i="2" a="1"/>
  <c r="I6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7" i="2" a="1"/>
  <c r="I17" i="2"/>
  <c r="I18" i="2" a="1"/>
  <c r="I18" i="2"/>
  <c r="I23" i="2" a="1"/>
  <c r="I23" i="2"/>
  <c r="I24" i="2" a="1"/>
  <c r="I24" i="2"/>
  <c r="I25" i="2" a="1"/>
  <c r="I25" i="2"/>
  <c r="I26" i="2" a="1"/>
  <c r="I26" i="2"/>
  <c r="I28" i="2" a="1"/>
  <c r="I28" i="2"/>
  <c r="I29" i="2" a="1"/>
  <c r="I29" i="2"/>
  <c r="I30" i="2" a="1"/>
  <c r="I30" i="2"/>
  <c r="I31" i="2" a="1"/>
  <c r="I31" i="2"/>
  <c r="I33" i="2" a="1"/>
  <c r="I33" i="2"/>
  <c r="I35" i="2" a="1"/>
  <c r="I35" i="2"/>
  <c r="I36" i="2" a="1"/>
  <c r="I36" i="2"/>
  <c r="I37" i="2" a="1"/>
  <c r="I37" i="2"/>
  <c r="I38" i="2" a="1"/>
  <c r="I38" i="2"/>
  <c r="I39" i="2" a="1"/>
  <c r="I39" i="2"/>
  <c r="I40" i="2" a="1"/>
  <c r="I40" i="2"/>
  <c r="I41" i="2" a="1"/>
  <c r="I41" i="2"/>
  <c r="I2" i="2" a="1"/>
  <c r="I2" i="2"/>
  <c r="K3" i="4"/>
  <c r="K5" i="4"/>
  <c r="K7" i="4"/>
  <c r="K9" i="4"/>
  <c r="K11" i="4"/>
  <c r="K2" i="4"/>
  <c r="G3" i="4"/>
  <c r="G4" i="4"/>
  <c r="G5" i="4"/>
  <c r="G6" i="4"/>
  <c r="G7" i="4"/>
  <c r="G8" i="4"/>
  <c r="G9" i="4"/>
  <c r="G10" i="4"/>
  <c r="G11" i="4"/>
  <c r="G12" i="4"/>
  <c r="G2" i="4"/>
  <c r="A2" i="4" a="1"/>
  <c r="A2" i="4" s="1"/>
  <c r="D3" i="3"/>
  <c r="I20" i="2" s="1" a="1"/>
  <c r="I20" i="2" s="1"/>
  <c r="D4" i="3"/>
  <c r="I5" i="2" s="1" a="1"/>
  <c r="I5" i="2" s="1"/>
  <c r="D5" i="3"/>
  <c r="I27" i="2" s="1" a="1"/>
  <c r="I27" i="2" s="1"/>
  <c r="D6" i="3"/>
  <c r="I19" i="2" s="1" a="1"/>
  <c r="I19" i="2" s="1"/>
  <c r="D2" i="3"/>
  <c r="I7" i="2" s="1" a="1"/>
  <c r="I7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2" i="2"/>
  <c r="B8" i="5"/>
  <c r="B4" i="5"/>
  <c r="I12" i="4" l="1" a="1"/>
  <c r="I12" i="4" s="1"/>
  <c r="I11" i="4" a="1"/>
  <c r="I11" i="4" s="1"/>
  <c r="I10" i="4" a="1"/>
  <c r="I10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I3" i="4" a="1"/>
  <c r="I3" i="4" s="1"/>
  <c r="I2" i="4" a="1"/>
  <c r="I2" i="4" s="1"/>
  <c r="I34" i="2" a="1"/>
  <c r="I34" i="2" s="1"/>
  <c r="I32" i="2" a="1"/>
  <c r="I32" i="2" s="1"/>
  <c r="I22" i="2" a="1"/>
  <c r="I22" i="2" s="1"/>
  <c r="I21" i="2" a="1"/>
  <c r="I21" i="2" s="1"/>
  <c r="I16" i="2" a="1"/>
  <c r="I16" i="2" s="1"/>
  <c r="I15" i="2" a="1"/>
  <c r="I1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<sst xmlns="http://schemas.openxmlformats.org/spreadsheetml/2006/main" count="233" uniqueCount="101">
  <si>
    <t>Instructions</t>
  </si>
  <si>
    <t>Inventory_Management.xlsx - Instructions</t>
  </si>
  <si>
    <t>Sheets:</t>
  </si>
  <si>
    <t xml:space="preserve"> - Inventory: Stock list with supplier and reorder info.</t>
  </si>
  <si>
    <t>Suggested tasks:</t>
  </si>
  <si>
    <t xml:space="preserve"> - Identify low-stock items (Stock Quantity &lt;= Reorder Point).</t>
  </si>
  <si>
    <t xml:space="preserve"> - Use LOOKUP to pull supplier contact (create a Supplier sheet if needed).</t>
  </si>
  <si>
    <t xml:space="preserve"> - Create a reorder report showing items to order and suggested quantities.</t>
  </si>
  <si>
    <t>Item Code</t>
  </si>
  <si>
    <t>Item</t>
  </si>
  <si>
    <t>Supplier</t>
  </si>
  <si>
    <t>Unit Cost (£)</t>
  </si>
  <si>
    <t>Stock Quantity</t>
  </si>
  <si>
    <t>Reorder Point</t>
  </si>
  <si>
    <t>Lead Time (days)</t>
  </si>
  <si>
    <t>SKU200</t>
  </si>
  <si>
    <t>Desk Lamp</t>
  </si>
  <si>
    <t>BritGoods Ltd</t>
  </si>
  <si>
    <t>SKU201</t>
  </si>
  <si>
    <t>Cotton Shirt</t>
  </si>
  <si>
    <t>SKU202</t>
  </si>
  <si>
    <t>Wireless Mouse</t>
  </si>
  <si>
    <t>Crown Suppliers</t>
  </si>
  <si>
    <t>SKU203</t>
  </si>
  <si>
    <t>Thermal Jacket</t>
  </si>
  <si>
    <t>Union Parts</t>
  </si>
  <si>
    <t>SKU204</t>
  </si>
  <si>
    <t>NorthTech Supplies</t>
  </si>
  <si>
    <t>SKU205</t>
  </si>
  <si>
    <t>SKU206</t>
  </si>
  <si>
    <t>Oak Desk</t>
  </si>
  <si>
    <t>SKU207</t>
  </si>
  <si>
    <t>Ergo Chair</t>
  </si>
  <si>
    <t>SKU208</t>
  </si>
  <si>
    <t>LED Monitor</t>
  </si>
  <si>
    <t>SKU209</t>
  </si>
  <si>
    <t>SKU210</t>
  </si>
  <si>
    <t>SKU211</t>
  </si>
  <si>
    <t>SKU212</t>
  </si>
  <si>
    <t>X-Phone Case</t>
  </si>
  <si>
    <t>SKU213</t>
  </si>
  <si>
    <t>SKU214</t>
  </si>
  <si>
    <t>SKU215</t>
  </si>
  <si>
    <t>SKU216</t>
  </si>
  <si>
    <t>Westfield Distributors</t>
  </si>
  <si>
    <t>SKU217</t>
  </si>
  <si>
    <t>SKU218</t>
  </si>
  <si>
    <t>SKU219</t>
  </si>
  <si>
    <t>SKU220</t>
  </si>
  <si>
    <t>SKU221</t>
  </si>
  <si>
    <t>SKU222</t>
  </si>
  <si>
    <t>SKU223</t>
  </si>
  <si>
    <t>SKU224</t>
  </si>
  <si>
    <t>SKU225</t>
  </si>
  <si>
    <t>SKU226</t>
  </si>
  <si>
    <t>SKU227</t>
  </si>
  <si>
    <t>SKU228</t>
  </si>
  <si>
    <t>SKU229</t>
  </si>
  <si>
    <t>SKU230</t>
  </si>
  <si>
    <t>SKU231</t>
  </si>
  <si>
    <t>SKU232</t>
  </si>
  <si>
    <t>SKU233</t>
  </si>
  <si>
    <t>SKU234</t>
  </si>
  <si>
    <t>SKU235</t>
  </si>
  <si>
    <t>SKU236</t>
  </si>
  <si>
    <t>SKU237</t>
  </si>
  <si>
    <t>SKU238</t>
  </si>
  <si>
    <t>SKU239</t>
  </si>
  <si>
    <t>Low Stock</t>
  </si>
  <si>
    <t>Name</t>
  </si>
  <si>
    <t xml:space="preserve">Email </t>
  </si>
  <si>
    <t>Phone</t>
  </si>
  <si>
    <t>Adam Francis</t>
  </si>
  <si>
    <t>Tia McMillian</t>
  </si>
  <si>
    <t>Rana Dubey</t>
  </si>
  <si>
    <t>Fia Ghazal</t>
  </si>
  <si>
    <t>Connor Diabolic</t>
  </si>
  <si>
    <t>Adam.Francis@britgoods.com</t>
  </si>
  <si>
    <t>Tia.McMillian@crown.com</t>
  </si>
  <si>
    <t>Rana.Dubey@union.com</t>
  </si>
  <si>
    <t>Fia.Ghazal@northtech.com</t>
  </si>
  <si>
    <t>Connor.Diabolic@westfield.com</t>
  </si>
  <si>
    <t>Suppier Email</t>
  </si>
  <si>
    <t>Supplier Phone</t>
  </si>
  <si>
    <t>Target Stock</t>
  </si>
  <si>
    <t>Suggested Quantity</t>
  </si>
  <si>
    <t>Supplier Email</t>
  </si>
  <si>
    <t>Total Order Value</t>
  </si>
  <si>
    <t>Row Labels</t>
  </si>
  <si>
    <t>Grand Total</t>
  </si>
  <si>
    <t>Count of Item Code</t>
  </si>
  <si>
    <t>Sum of Stock Quantity</t>
  </si>
  <si>
    <t>Count of Low Stock</t>
  </si>
  <si>
    <t>Sum of Total Order Value</t>
  </si>
  <si>
    <t>Average of Lead Time (days)</t>
  </si>
  <si>
    <t>Sum of Reorder Point</t>
  </si>
  <si>
    <t>Total SKU</t>
  </si>
  <si>
    <t xml:space="preserve">Low Stock Item </t>
  </si>
  <si>
    <t>Out of Stock</t>
  </si>
  <si>
    <t>Average Lead Time</t>
  </si>
  <si>
    <t>Total Reoder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</si>
</sst>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5" formatCode="&quot;£&quot;#,##0.00"/>
    <numFmt numFmtId="170" formatCode="&quot;£&quot;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3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70" fontId="0" fillId="0" borderId="0" xfId="0" applyNumberFormat="1"/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E3A5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[Inventory_Management_Completed.xlsx]PivotTable Inventory!PivotTable10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bg1"/>
                </a:solidFill>
              </a:rPr>
              <a:t>Stock</a:t>
            </a:r>
            <a:r>
              <a:rPr lang="en-GB" b="1" baseline="0">
                <a:solidFill>
                  <a:schemeClr val="bg1"/>
                </a:solidFill>
              </a:rPr>
              <a:t> Quantity/Reoder Point</a:t>
            </a:r>
            <a:endParaRPr lang="en-GB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3A52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Inventory'!$H$13</c:f>
              <c:strCache>
                <c:ptCount val="1"/>
                <c:pt idx="0">
                  <c:v>Sum of Stock Quantity</c:v>
                </c:pt>
              </c:strCache>
            </c:strRef>
          </c:tx>
          <c:spPr>
            <a:solidFill>
              <a:srgbClr val="E3A529"/>
            </a:solidFill>
            <a:ln>
              <a:noFill/>
            </a:ln>
            <a:effectLst/>
          </c:spPr>
          <c:invertIfNegative val="0"/>
          <c:cat>
            <c:strRef>
              <c:f>'PivotTable Inventory'!$G$14:$G$22</c:f>
              <c:strCache>
                <c:ptCount val="8"/>
                <c:pt idx="0">
                  <c:v>Cotton Shirt</c:v>
                </c:pt>
                <c:pt idx="1">
                  <c:v>Desk Lamp</c:v>
                </c:pt>
                <c:pt idx="2">
                  <c:v>Ergo Chair</c:v>
                </c:pt>
                <c:pt idx="3">
                  <c:v>LED Monitor</c:v>
                </c:pt>
                <c:pt idx="4">
                  <c:v>Oak Desk</c:v>
                </c:pt>
                <c:pt idx="5">
                  <c:v>Thermal Jacket</c:v>
                </c:pt>
                <c:pt idx="6">
                  <c:v>Wireless Mouse</c:v>
                </c:pt>
                <c:pt idx="7">
                  <c:v>X-Phone Case</c:v>
                </c:pt>
              </c:strCache>
            </c:strRef>
          </c:cat>
          <c:val>
            <c:numRef>
              <c:f>'PivotTable Inventory'!$H$14:$H$22</c:f>
              <c:numCache>
                <c:formatCode>General</c:formatCode>
                <c:ptCount val="8"/>
                <c:pt idx="0">
                  <c:v>864</c:v>
                </c:pt>
                <c:pt idx="1">
                  <c:v>412</c:v>
                </c:pt>
                <c:pt idx="2">
                  <c:v>676</c:v>
                </c:pt>
                <c:pt idx="3">
                  <c:v>712</c:v>
                </c:pt>
                <c:pt idx="4">
                  <c:v>916</c:v>
                </c:pt>
                <c:pt idx="5">
                  <c:v>318</c:v>
                </c:pt>
                <c:pt idx="6">
                  <c:v>511</c:v>
                </c:pt>
                <c:pt idx="7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4-4290-B4EE-0B343ED09E77}"/>
            </c:ext>
          </c:extLst>
        </c:ser>
        <c:ser>
          <c:idx val="1"/>
          <c:order val="1"/>
          <c:tx>
            <c:strRef>
              <c:f>'PivotTable Inventory'!$I$13</c:f>
              <c:strCache>
                <c:ptCount val="1"/>
                <c:pt idx="0">
                  <c:v>Sum of Reorder Point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'PivotTable Inventory'!$G$14:$G$22</c:f>
              <c:strCache>
                <c:ptCount val="8"/>
                <c:pt idx="0">
                  <c:v>Cotton Shirt</c:v>
                </c:pt>
                <c:pt idx="1">
                  <c:v>Desk Lamp</c:v>
                </c:pt>
                <c:pt idx="2">
                  <c:v>Ergo Chair</c:v>
                </c:pt>
                <c:pt idx="3">
                  <c:v>LED Monitor</c:v>
                </c:pt>
                <c:pt idx="4">
                  <c:v>Oak Desk</c:v>
                </c:pt>
                <c:pt idx="5">
                  <c:v>Thermal Jacket</c:v>
                </c:pt>
                <c:pt idx="6">
                  <c:v>Wireless Mouse</c:v>
                </c:pt>
                <c:pt idx="7">
                  <c:v>X-Phone Case</c:v>
                </c:pt>
              </c:strCache>
            </c:strRef>
          </c:cat>
          <c:val>
            <c:numRef>
              <c:f>'PivotTable Inventory'!$I$14:$I$22</c:f>
              <c:numCache>
                <c:formatCode>General</c:formatCode>
                <c:ptCount val="8"/>
                <c:pt idx="0">
                  <c:v>492</c:v>
                </c:pt>
                <c:pt idx="1">
                  <c:v>145</c:v>
                </c:pt>
                <c:pt idx="2">
                  <c:v>261</c:v>
                </c:pt>
                <c:pt idx="3">
                  <c:v>306</c:v>
                </c:pt>
                <c:pt idx="4">
                  <c:v>425</c:v>
                </c:pt>
                <c:pt idx="5">
                  <c:v>134</c:v>
                </c:pt>
                <c:pt idx="6">
                  <c:v>134</c:v>
                </c:pt>
                <c:pt idx="7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4-4290-B4EE-0B343ED09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9141183"/>
        <c:axId val="119145983"/>
      </c:barChart>
      <c:catAx>
        <c:axId val="11914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5983"/>
        <c:crosses val="autoZero"/>
        <c:auto val="1"/>
        <c:lblAlgn val="ctr"/>
        <c:lblOffset val="100"/>
        <c:noMultiLvlLbl val="0"/>
      </c:catAx>
      <c:valAx>
        <c:axId val="11914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[Inventory_Management_Completed.xlsx]PivotTable Inventory!PivotTable6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Low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Inventory'!$H$1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'PivotTable Inventory'!$G$2:$G$9</c:f>
              <c:strCache>
                <c:ptCount val="7"/>
                <c:pt idx="0">
                  <c:v>Cotton Shirt</c:v>
                </c:pt>
                <c:pt idx="1">
                  <c:v>Desk Lamp</c:v>
                </c:pt>
                <c:pt idx="2">
                  <c:v>Ergo Chair</c:v>
                </c:pt>
                <c:pt idx="3">
                  <c:v>LED Monitor</c:v>
                </c:pt>
                <c:pt idx="4">
                  <c:v>Oak Desk</c:v>
                </c:pt>
                <c:pt idx="5">
                  <c:v>Thermal Jacket</c:v>
                </c:pt>
                <c:pt idx="6">
                  <c:v>X-Phone Case</c:v>
                </c:pt>
              </c:strCache>
            </c:strRef>
          </c:cat>
          <c:val>
            <c:numRef>
              <c:f>'PivotTable Inventory'!$H$2:$H$9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31E-AFE0-23F54627E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9171423"/>
        <c:axId val="119161343"/>
      </c:barChart>
      <c:catAx>
        <c:axId val="119171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1343"/>
        <c:crosses val="autoZero"/>
        <c:auto val="1"/>
        <c:lblAlgn val="ctr"/>
        <c:lblOffset val="100"/>
        <c:noMultiLvlLbl val="0"/>
      </c:catAx>
      <c:valAx>
        <c:axId val="119161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17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[Inventory_Management_Completed.xlsx]PivotTable Inventory!PivotTable9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Avg.</a:t>
            </a:r>
            <a:r>
              <a:rPr lang="en-US" b="1" baseline="0">
                <a:solidFill>
                  <a:schemeClr val="bg1"/>
                </a:solidFill>
              </a:rPr>
              <a:t> Lead Time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E3A52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'PivotTable Inventory'!$E$13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3A52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'PivotTable Inventory'!$D$14:$D$19</c:f>
              <c:strCache>
                <c:ptCount val="5"/>
                <c:pt idx="0">
                  <c:v>BritGoods Ltd</c:v>
                </c:pt>
                <c:pt idx="1">
                  <c:v>Crown Suppliers</c:v>
                </c:pt>
                <c:pt idx="2">
                  <c:v>NorthTech Supplies</c:v>
                </c:pt>
                <c:pt idx="3">
                  <c:v>Union Parts</c:v>
                </c:pt>
                <c:pt idx="4">
                  <c:v>Westfield Distributors</c:v>
                </c:pt>
              </c:strCache>
            </c:strRef>
          </c:cat>
          <c:val>
            <c:numRef>
              <c:f>'PivotTable Inventory'!$E$14:$E$19</c:f>
              <c:numCache>
                <c:formatCode>0</c:formatCode>
                <c:ptCount val="5"/>
                <c:pt idx="0">
                  <c:v>13.2</c:v>
                </c:pt>
                <c:pt idx="1">
                  <c:v>15.25</c:v>
                </c:pt>
                <c:pt idx="2">
                  <c:v>12.555555555555555</c:v>
                </c:pt>
                <c:pt idx="3">
                  <c:v>13</c:v>
                </c:pt>
                <c:pt idx="4">
                  <c:v>13.571428571428571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8-475C-A101-A3F8D2E1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65663"/>
        <c:axId val="119155583"/>
      </c:radarChart>
      <c:catAx>
        <c:axId val="11916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5583"/>
        <c:crosses val="autoZero"/>
        <c:auto val="1"/>
        <c:lblAlgn val="ctr"/>
        <c:lblOffset val="100"/>
        <c:noMultiLvlLbl val="0"/>
      </c:catAx>
      <c:valAx>
        <c:axId val="1191555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916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[Inventory_Management_Completed.xlsx]Pivot Table Reorder!PivotTable8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Reorder'!$E$3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'Pivot Table Reorder'!$D$4:$D$9</c:f>
              <c:strCache>
                <c:ptCount val="5"/>
                <c:pt idx="0">
                  <c:v>BritGoods Ltd</c:v>
                </c:pt>
                <c:pt idx="1">
                  <c:v>Crown Suppliers</c:v>
                </c:pt>
                <c:pt idx="2">
                  <c:v>NorthTech Supplies</c:v>
                </c:pt>
                <c:pt idx="3">
                  <c:v>Union Parts</c:v>
                </c:pt>
                <c:pt idx="4">
                  <c:v>Westfield Distributors</c:v>
                </c:pt>
              </c:strCache>
            </c:strRef>
          </c:cat>
          <c:val>
            <c:numRef>
              <c:f>'Pivot Table Reorder'!$E$4:$E$9</c:f>
              <c:numCache>
                <c:formatCode>"£"#,##0.00</c:formatCode>
                <c:ptCount val="5"/>
                <c:pt idx="0">
                  <c:v>18397.05</c:v>
                </c:pt>
                <c:pt idx="1">
                  <c:v>11647.900000000001</c:v>
                </c:pt>
                <c:pt idx="2">
                  <c:v>206.54999999999998</c:v>
                </c:pt>
                <c:pt idx="3">
                  <c:v>12900.08</c:v>
                </c:pt>
                <c:pt idx="4">
                  <c:v>11275.56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6-4AD5-8BC6-1657EEF70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8116879"/>
        <c:axId val="108105359"/>
      </c:barChart>
      <c:catAx>
        <c:axId val="10811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5359"/>
        <c:crosses val="autoZero"/>
        <c:auto val="1"/>
        <c:lblAlgn val="ctr"/>
        <c:lblOffset val="100"/>
        <c:noMultiLvlLbl val="0"/>
      </c:catAx>
      <c:valAx>
        <c:axId val="10810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45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C48E9C0-D29F-6D2E-7ED3-01F26C9E4E05}"/>
            </a:ext>
          </a:extLst>
        </xdr:cNvPr>
        <xdr:cNvSpPr/>
      </xdr:nvSpPr>
      <xdr:spPr>
        <a:xfrm>
          <a:off x="0" y="0"/>
          <a:ext cx="12192000" cy="8648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000"/>
        </a:p>
      </xdr:txBody>
    </xdr:sp>
    <xdr:clientData/>
  </xdr:twoCellAnchor>
  <xdr:twoCellAnchor>
    <xdr:from>
      <xdr:col>5</xdr:col>
      <xdr:colOff>427435</xdr:colOff>
      <xdr:row>0</xdr:row>
      <xdr:rowOff>0</xdr:rowOff>
    </xdr:from>
    <xdr:to>
      <xdr:col>14</xdr:col>
      <xdr:colOff>182166</xdr:colOff>
      <xdr:row>2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3CAB1A-B81A-37AE-DC8B-746564AB9D14}"/>
            </a:ext>
          </a:extLst>
        </xdr:cNvPr>
        <xdr:cNvSpPr txBox="1"/>
      </xdr:nvSpPr>
      <xdr:spPr>
        <a:xfrm>
          <a:off x="3475435" y="0"/>
          <a:ext cx="5241131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500" b="1">
              <a:solidFill>
                <a:schemeClr val="bg1"/>
              </a:solidFill>
            </a:rPr>
            <a:t>INVENTORY</a:t>
          </a:r>
          <a:r>
            <a:rPr lang="en-GB" sz="2500" b="1" baseline="0">
              <a:solidFill>
                <a:schemeClr val="bg1"/>
              </a:solidFill>
            </a:rPr>
            <a:t> MANAGMENT SYSTEM</a:t>
          </a:r>
          <a:endParaRPr lang="en-GB" sz="25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76200</xdr:colOff>
      <xdr:row>3</xdr:row>
      <xdr:rowOff>95250</xdr:rowOff>
    </xdr:from>
    <xdr:to>
      <xdr:col>3</xdr:col>
      <xdr:colOff>523875</xdr:colOff>
      <xdr:row>9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D05F250C-3DB5-8DDE-33AD-4BF7C59B2D6B}"/>
            </a:ext>
          </a:extLst>
        </xdr:cNvPr>
        <xdr:cNvGrpSpPr/>
      </xdr:nvGrpSpPr>
      <xdr:grpSpPr>
        <a:xfrm>
          <a:off x="76200" y="666750"/>
          <a:ext cx="2276475" cy="1047750"/>
          <a:chOff x="590550" y="561975"/>
          <a:chExt cx="2276475" cy="1047750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42A0448C-F6A4-AE28-20C4-48218180895D}"/>
              </a:ext>
            </a:extLst>
          </xdr:cNvPr>
          <xdr:cNvSpPr/>
        </xdr:nvSpPr>
        <xdr:spPr>
          <a:xfrm>
            <a:off x="590550" y="561975"/>
            <a:ext cx="2276475" cy="1047750"/>
          </a:xfrm>
          <a:prstGeom prst="roundRect">
            <a:avLst>
              <a:gd name="adj" fmla="val 10303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DAF0723-26E4-9F10-A02C-180CA0F6A16C}"/>
              </a:ext>
            </a:extLst>
          </xdr:cNvPr>
          <xdr:cNvSpPr txBox="1"/>
        </xdr:nvSpPr>
        <xdr:spPr>
          <a:xfrm>
            <a:off x="1647826" y="628649"/>
            <a:ext cx="11049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1">
                <a:solidFill>
                  <a:schemeClr val="bg1"/>
                </a:solidFill>
              </a:rPr>
              <a:t>TOTAL</a:t>
            </a:r>
            <a:r>
              <a:rPr lang="en-GB" sz="1400" b="1" baseline="0">
                <a:solidFill>
                  <a:schemeClr val="bg1"/>
                </a:solidFill>
              </a:rPr>
              <a:t> SKU</a:t>
            </a:r>
            <a:endParaRPr lang="en-GB" sz="1400" b="1">
              <a:solidFill>
                <a:schemeClr val="bg1"/>
              </a:solidFill>
            </a:endParaRPr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3E75396-1D93-A262-9A7D-299454D44E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duotone>
              <a:prstClr val="black"/>
              <a:schemeClr val="accent1">
                <a:tint val="45000"/>
                <a:satMod val="400000"/>
              </a:schemeClr>
            </a:duotone>
          </a:blip>
          <a:stretch>
            <a:fillRect/>
          </a:stretch>
        </xdr:blipFill>
        <xdr:spPr>
          <a:xfrm>
            <a:off x="714375" y="571500"/>
            <a:ext cx="600075" cy="600075"/>
          </a:xfrm>
          <a:prstGeom prst="rect">
            <a:avLst/>
          </a:prstGeom>
        </xdr:spPr>
      </xdr:pic>
      <xdr:sp macro="" textlink="'PivotTable Inventory'!B4">
        <xdr:nvSpPr>
          <xdr:cNvPr id="9" name="TextBox 8">
            <a:extLst>
              <a:ext uri="{FF2B5EF4-FFF2-40B4-BE49-F238E27FC236}">
                <a16:creationId xmlns:a16="http://schemas.microsoft.com/office/drawing/2014/main" id="{E9935E5E-42C1-8C50-ED43-885DF24FEBAB}"/>
              </a:ext>
            </a:extLst>
          </xdr:cNvPr>
          <xdr:cNvSpPr txBox="1"/>
        </xdr:nvSpPr>
        <xdr:spPr>
          <a:xfrm>
            <a:off x="1647826" y="933449"/>
            <a:ext cx="533400" cy="409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25A45B3-42CF-4A22-A0A2-74BAED1BF4B9}" type="TxLink">
              <a:rPr lang="en-US" sz="2000" b="1" i="0" u="none" strike="noStrike">
                <a:solidFill>
                  <a:schemeClr val="bg1"/>
                </a:solidFill>
                <a:latin typeface="Calibri"/>
                <a:cs typeface="Calibri"/>
              </a:rPr>
              <a:t>40</a:t>
            </a:fld>
            <a:endParaRPr lang="en-GB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66675</xdr:colOff>
      <xdr:row>3</xdr:row>
      <xdr:rowOff>95250</xdr:rowOff>
    </xdr:from>
    <xdr:to>
      <xdr:col>7</xdr:col>
      <xdr:colOff>514350</xdr:colOff>
      <xdr:row>9</xdr:row>
      <xdr:rowOff>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61C783B8-CAAF-6F03-E776-C989801E1D5D}"/>
            </a:ext>
          </a:extLst>
        </xdr:cNvPr>
        <xdr:cNvGrpSpPr/>
      </xdr:nvGrpSpPr>
      <xdr:grpSpPr>
        <a:xfrm>
          <a:off x="2505075" y="666750"/>
          <a:ext cx="2276475" cy="1047750"/>
          <a:chOff x="3086100" y="590550"/>
          <a:chExt cx="2276475" cy="104775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7C358F21-0354-4303-BDF4-7E30E2C76CB9}"/>
              </a:ext>
            </a:extLst>
          </xdr:cNvPr>
          <xdr:cNvSpPr/>
        </xdr:nvSpPr>
        <xdr:spPr>
          <a:xfrm>
            <a:off x="3086100" y="590550"/>
            <a:ext cx="2276475" cy="1047750"/>
          </a:xfrm>
          <a:prstGeom prst="roundRect">
            <a:avLst>
              <a:gd name="adj" fmla="val 10303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77380ED-F2A6-4735-BB05-FB596F0E851F}"/>
              </a:ext>
            </a:extLst>
          </xdr:cNvPr>
          <xdr:cNvSpPr txBox="1"/>
        </xdr:nvSpPr>
        <xdr:spPr>
          <a:xfrm>
            <a:off x="4000499" y="666749"/>
            <a:ext cx="132397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1">
                <a:solidFill>
                  <a:schemeClr val="bg1"/>
                </a:solidFill>
              </a:rPr>
              <a:t>Low Stock Item</a:t>
            </a:r>
          </a:p>
        </xdr:txBody>
      </xdr:sp>
      <xdr:sp macro="" textlink="'PivotTable Inventory'!B5">
        <xdr:nvSpPr>
          <xdr:cNvPr id="13" name="TextBox 12">
            <a:extLst>
              <a:ext uri="{FF2B5EF4-FFF2-40B4-BE49-F238E27FC236}">
                <a16:creationId xmlns:a16="http://schemas.microsoft.com/office/drawing/2014/main" id="{248B28C3-E957-42E1-9937-C2A135984AAE}"/>
              </a:ext>
            </a:extLst>
          </xdr:cNvPr>
          <xdr:cNvSpPr txBox="1"/>
        </xdr:nvSpPr>
        <xdr:spPr>
          <a:xfrm>
            <a:off x="4000499" y="923924"/>
            <a:ext cx="533400" cy="409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1C2FF753-CE03-4B1F-A790-DA846C1DDB1D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11</a:t>
            </a:fld>
            <a:endParaRPr lang="en-GB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C94DD4B3-8068-FADC-E5A6-0CF47944E6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prstClr val="black"/>
              <a:srgbClr val="FF0000">
                <a:tint val="45000"/>
                <a:satMod val="400000"/>
              </a:srgbClr>
            </a:duotone>
          </a:blip>
          <a:stretch>
            <a:fillRect/>
          </a:stretch>
        </xdr:blipFill>
        <xdr:spPr>
          <a:xfrm>
            <a:off x="3228975" y="695324"/>
            <a:ext cx="438151" cy="438151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57150</xdr:colOff>
      <xdr:row>3</xdr:row>
      <xdr:rowOff>95250</xdr:rowOff>
    </xdr:from>
    <xdr:to>
      <xdr:col>11</xdr:col>
      <xdr:colOff>504825</xdr:colOff>
      <xdr:row>9</xdr:row>
      <xdr:rowOff>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7FA99B89-F203-9E86-AAD3-D318A6F39E6D}"/>
            </a:ext>
          </a:extLst>
        </xdr:cNvPr>
        <xdr:cNvGrpSpPr/>
      </xdr:nvGrpSpPr>
      <xdr:grpSpPr>
        <a:xfrm>
          <a:off x="4933950" y="666750"/>
          <a:ext cx="2276475" cy="1047750"/>
          <a:chOff x="5581650" y="600075"/>
          <a:chExt cx="2276475" cy="1047750"/>
        </a:xfrm>
      </xdr:grpSpPr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CC5DC105-8414-42EC-AA0E-6B7602144082}"/>
              </a:ext>
            </a:extLst>
          </xdr:cNvPr>
          <xdr:cNvSpPr/>
        </xdr:nvSpPr>
        <xdr:spPr>
          <a:xfrm>
            <a:off x="5581650" y="600075"/>
            <a:ext cx="2276475" cy="1047750"/>
          </a:xfrm>
          <a:prstGeom prst="roundRect">
            <a:avLst>
              <a:gd name="adj" fmla="val 10303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5DF42953-56F0-410C-9C9E-8FC964C54C59}"/>
              </a:ext>
            </a:extLst>
          </xdr:cNvPr>
          <xdr:cNvSpPr txBox="1"/>
        </xdr:nvSpPr>
        <xdr:spPr>
          <a:xfrm>
            <a:off x="6515100" y="676274"/>
            <a:ext cx="12954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1">
                <a:solidFill>
                  <a:schemeClr val="bg1"/>
                </a:solidFill>
              </a:rPr>
              <a:t>OUT</a:t>
            </a:r>
            <a:r>
              <a:rPr lang="en-GB" sz="1400" b="1" baseline="0">
                <a:solidFill>
                  <a:schemeClr val="bg1"/>
                </a:solidFill>
              </a:rPr>
              <a:t> OF STOCK</a:t>
            </a:r>
            <a:endParaRPr lang="en-GB" sz="1400" b="1">
              <a:solidFill>
                <a:schemeClr val="bg1"/>
              </a:solidFill>
            </a:endParaRPr>
          </a:p>
        </xdr:txBody>
      </xdr:sp>
      <xdr:sp macro="" textlink="'PivotTable Inventory'!B6">
        <xdr:nvSpPr>
          <xdr:cNvPr id="31" name="TextBox 30">
            <a:extLst>
              <a:ext uri="{FF2B5EF4-FFF2-40B4-BE49-F238E27FC236}">
                <a16:creationId xmlns:a16="http://schemas.microsoft.com/office/drawing/2014/main" id="{E0B2274E-BC8D-4F32-949F-0DA5E03410E6}"/>
              </a:ext>
            </a:extLst>
          </xdr:cNvPr>
          <xdr:cNvSpPr txBox="1"/>
        </xdr:nvSpPr>
        <xdr:spPr>
          <a:xfrm>
            <a:off x="6600826" y="942974"/>
            <a:ext cx="533400" cy="409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E82FCA2-DBC0-4C12-A8A6-7088217520B5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0</a:t>
            </a:fld>
            <a:endParaRPr lang="en-GB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97B3F45A-A068-9659-1472-EE61DCD8A8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734050" y="666750"/>
            <a:ext cx="514350" cy="514350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47625</xdr:colOff>
      <xdr:row>3</xdr:row>
      <xdr:rowOff>80963</xdr:rowOff>
    </xdr:from>
    <xdr:to>
      <xdr:col>15</xdr:col>
      <xdr:colOff>504825</xdr:colOff>
      <xdr:row>9</xdr:row>
      <xdr:rowOff>14288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19C65894-3F52-DF68-91CB-BD1E1D5FC171}"/>
            </a:ext>
          </a:extLst>
        </xdr:cNvPr>
        <xdr:cNvGrpSpPr/>
      </xdr:nvGrpSpPr>
      <xdr:grpSpPr>
        <a:xfrm>
          <a:off x="7362825" y="652463"/>
          <a:ext cx="2286000" cy="1076325"/>
          <a:chOff x="7962900" y="571500"/>
          <a:chExt cx="2286000" cy="1076325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4EC8D2CF-F685-47B5-B31F-31D1E0B899DE}"/>
              </a:ext>
            </a:extLst>
          </xdr:cNvPr>
          <xdr:cNvSpPr/>
        </xdr:nvSpPr>
        <xdr:spPr>
          <a:xfrm>
            <a:off x="7962900" y="600075"/>
            <a:ext cx="2276475" cy="1047750"/>
          </a:xfrm>
          <a:prstGeom prst="roundRect">
            <a:avLst>
              <a:gd name="adj" fmla="val 10303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89F7F7EB-A5A1-447F-BF03-FCD3AEBC46A2}"/>
              </a:ext>
            </a:extLst>
          </xdr:cNvPr>
          <xdr:cNvGrpSpPr/>
        </xdr:nvGrpSpPr>
        <xdr:grpSpPr>
          <a:xfrm>
            <a:off x="8058151" y="571500"/>
            <a:ext cx="2190749" cy="809625"/>
            <a:chOff x="8058151" y="571500"/>
            <a:chExt cx="2190749" cy="809625"/>
          </a:xfrm>
        </xdr:grpSpPr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923E6D1-0044-457E-8D2E-2BF2A4AC51D5}"/>
                </a:ext>
              </a:extLst>
            </xdr:cNvPr>
            <xdr:cNvSpPr txBox="1"/>
          </xdr:nvSpPr>
          <xdr:spPr>
            <a:xfrm>
              <a:off x="8801100" y="666749"/>
              <a:ext cx="14478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400" b="1">
                  <a:solidFill>
                    <a:schemeClr val="bg1"/>
                  </a:solidFill>
                </a:rPr>
                <a:t>AVG. LEAD TIME</a:t>
              </a:r>
            </a:p>
          </xdr:txBody>
        </xdr:sp>
        <xdr:sp macro="" textlink="'PivotTable Inventory'!B7">
          <xdr:nvSpPr>
            <xdr:cNvPr id="35" name="TextBox 34">
              <a:extLst>
                <a:ext uri="{FF2B5EF4-FFF2-40B4-BE49-F238E27FC236}">
                  <a16:creationId xmlns:a16="http://schemas.microsoft.com/office/drawing/2014/main" id="{038ADC21-E2DA-4471-B4A6-6291E3E42F8D}"/>
                </a:ext>
              </a:extLst>
            </xdr:cNvPr>
            <xdr:cNvSpPr txBox="1"/>
          </xdr:nvSpPr>
          <xdr:spPr>
            <a:xfrm>
              <a:off x="8801100" y="971549"/>
              <a:ext cx="533400" cy="4095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6F1B0EEC-3465-475E-B477-64380AA8D217}" type="TxLink">
                <a:rPr lang="en-US" sz="2000" b="1" i="0" u="none" strike="noStrike">
                  <a:solidFill>
                    <a:schemeClr val="bg1"/>
                  </a:solidFill>
                  <a:latin typeface="Calibri"/>
                  <a:ea typeface="+mn-ea"/>
                  <a:cs typeface="Calibri"/>
                </a:rPr>
                <a:pPr marL="0" indent="0"/>
                <a:t>14</a:t>
              </a:fld>
              <a:endParaRPr lang="en-GB" sz="20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endParaRPr>
            </a:p>
          </xdr:txBody>
        </xdr:sp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66AF47CC-A706-71C1-55F8-EE73F8950F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058151" y="571500"/>
              <a:ext cx="676276" cy="67627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47625</xdr:colOff>
      <xdr:row>3</xdr:row>
      <xdr:rowOff>95250</xdr:rowOff>
    </xdr:from>
    <xdr:to>
      <xdr:col>20</xdr:col>
      <xdr:colOff>66675</xdr:colOff>
      <xdr:row>9</xdr:row>
      <xdr:rowOff>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5E21C648-4C3A-9437-58B3-E1207D19DDB3}"/>
            </a:ext>
          </a:extLst>
        </xdr:cNvPr>
        <xdr:cNvGrpSpPr/>
      </xdr:nvGrpSpPr>
      <xdr:grpSpPr>
        <a:xfrm>
          <a:off x="9801225" y="666750"/>
          <a:ext cx="2457450" cy="1047750"/>
          <a:chOff x="10315575" y="571500"/>
          <a:chExt cx="2457450" cy="1047750"/>
        </a:xfrm>
      </xdr:grpSpPr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AC85C919-66D5-4EB1-8F0C-007CCC4237F7}"/>
              </a:ext>
            </a:extLst>
          </xdr:cNvPr>
          <xdr:cNvSpPr/>
        </xdr:nvSpPr>
        <xdr:spPr>
          <a:xfrm>
            <a:off x="10382250" y="571500"/>
            <a:ext cx="2276475" cy="1047750"/>
          </a:xfrm>
          <a:prstGeom prst="roundRect">
            <a:avLst>
              <a:gd name="adj" fmla="val 10303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F4D85FB3-3FAE-402E-9847-0DA41491EBDE}"/>
              </a:ext>
            </a:extLst>
          </xdr:cNvPr>
          <xdr:cNvSpPr txBox="1"/>
        </xdr:nvSpPr>
        <xdr:spPr>
          <a:xfrm>
            <a:off x="11020425" y="666749"/>
            <a:ext cx="175260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1">
                <a:solidFill>
                  <a:schemeClr val="bg1"/>
                </a:solidFill>
              </a:rPr>
              <a:t>TOT. REORDER</a:t>
            </a:r>
            <a:r>
              <a:rPr lang="en-GB" sz="1400" b="1" baseline="0">
                <a:solidFill>
                  <a:schemeClr val="bg1"/>
                </a:solidFill>
              </a:rPr>
              <a:t> COST</a:t>
            </a:r>
          </a:p>
          <a:p>
            <a:endParaRPr lang="en-GB" sz="1400" b="1">
              <a:solidFill>
                <a:schemeClr val="bg1"/>
              </a:solidFill>
            </a:endParaRPr>
          </a:p>
        </xdr:txBody>
      </xdr:sp>
      <xdr:sp macro="" textlink="'PivotTable Inventory'!B8">
        <xdr:nvSpPr>
          <xdr:cNvPr id="39" name="TextBox 38">
            <a:extLst>
              <a:ext uri="{FF2B5EF4-FFF2-40B4-BE49-F238E27FC236}">
                <a16:creationId xmlns:a16="http://schemas.microsoft.com/office/drawing/2014/main" id="{D2BD198E-E234-4C69-8DEC-0DFB7E51EFC8}"/>
              </a:ext>
            </a:extLst>
          </xdr:cNvPr>
          <xdr:cNvSpPr txBox="1"/>
        </xdr:nvSpPr>
        <xdr:spPr>
          <a:xfrm>
            <a:off x="11020425" y="942974"/>
            <a:ext cx="1057274" cy="409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D5E3F865-8AA9-44BA-8B59-0922ACC8B891}" type="TxLink">
              <a:rPr lang="en-US" sz="20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£54,427</a:t>
            </a:fld>
            <a:endParaRPr lang="en-GB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10C858A2-03D1-D146-34C6-BD8CB4986F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duotone>
              <a:schemeClr val="accent1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0315575" y="600074"/>
            <a:ext cx="676275" cy="6762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238124</xdr:colOff>
      <xdr:row>9</xdr:row>
      <xdr:rowOff>66676</xdr:rowOff>
    </xdr:from>
    <xdr:to>
      <xdr:col>8</xdr:col>
      <xdr:colOff>95249</xdr:colOff>
      <xdr:row>26</xdr:row>
      <xdr:rowOff>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97947374-5E32-4853-D317-597A381F795A}"/>
            </a:ext>
          </a:extLst>
        </xdr:cNvPr>
        <xdr:cNvGrpSpPr/>
      </xdr:nvGrpSpPr>
      <xdr:grpSpPr>
        <a:xfrm>
          <a:off x="238124" y="1781176"/>
          <a:ext cx="4733925" cy="3171824"/>
          <a:chOff x="914399" y="1781176"/>
          <a:chExt cx="4733925" cy="3171824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7A3CAA3D-B32A-2C6B-0593-02AE5858B854}"/>
              </a:ext>
            </a:extLst>
          </xdr:cNvPr>
          <xdr:cNvSpPr/>
        </xdr:nvSpPr>
        <xdr:spPr>
          <a:xfrm>
            <a:off x="914399" y="1781176"/>
            <a:ext cx="4733925" cy="3171824"/>
          </a:xfrm>
          <a:prstGeom prst="roundRect">
            <a:avLst>
              <a:gd name="adj" fmla="val 4655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54" name="Chart 53">
            <a:extLst>
              <a:ext uri="{FF2B5EF4-FFF2-40B4-BE49-F238E27FC236}">
                <a16:creationId xmlns:a16="http://schemas.microsoft.com/office/drawing/2014/main" id="{4DFD33CA-0F7C-419B-BE1D-28322826D158}"/>
              </a:ext>
            </a:extLst>
          </xdr:cNvPr>
          <xdr:cNvGraphicFramePr>
            <a:graphicFrameLocks/>
          </xdr:cNvGraphicFramePr>
        </xdr:nvGraphicFramePr>
        <xdr:xfrm>
          <a:off x="933449" y="1981201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8</xdr:col>
      <xdr:colOff>390524</xdr:colOff>
      <xdr:row>9</xdr:row>
      <xdr:rowOff>76201</xdr:rowOff>
    </xdr:from>
    <xdr:to>
      <xdr:col>16</xdr:col>
      <xdr:colOff>247649</xdr:colOff>
      <xdr:row>26</xdr:row>
      <xdr:rowOff>9525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A0B49B3F-586E-3A4D-2173-D39B4795A7EF}"/>
            </a:ext>
          </a:extLst>
        </xdr:cNvPr>
        <xdr:cNvGrpSpPr/>
      </xdr:nvGrpSpPr>
      <xdr:grpSpPr>
        <a:xfrm>
          <a:off x="5267324" y="1790701"/>
          <a:ext cx="4733925" cy="3171824"/>
          <a:chOff x="5086349" y="1790701"/>
          <a:chExt cx="4733925" cy="3171824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81FA93F7-8552-4D8F-1AC4-809CBEEDA090}"/>
              </a:ext>
            </a:extLst>
          </xdr:cNvPr>
          <xdr:cNvSpPr/>
        </xdr:nvSpPr>
        <xdr:spPr>
          <a:xfrm>
            <a:off x="5086349" y="1790701"/>
            <a:ext cx="4733925" cy="3171824"/>
          </a:xfrm>
          <a:prstGeom prst="roundRect">
            <a:avLst>
              <a:gd name="adj" fmla="val 4655"/>
            </a:avLst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  <a:effectLst>
            <a:softEdge rad="1270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CAFBB72A-6C6E-47EB-A3F6-39C6D4CD5AA6}"/>
              </a:ext>
            </a:extLst>
          </xdr:cNvPr>
          <xdr:cNvGraphicFramePr>
            <a:graphicFrameLocks/>
          </xdr:cNvGraphicFramePr>
        </xdr:nvGraphicFramePr>
        <xdr:xfrm>
          <a:off x="5219699" y="1971676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0</xdr:col>
      <xdr:colOff>238124</xdr:colOff>
      <xdr:row>27</xdr:row>
      <xdr:rowOff>28576</xdr:rowOff>
    </xdr:from>
    <xdr:to>
      <xdr:col>8</xdr:col>
      <xdr:colOff>95249</xdr:colOff>
      <xdr:row>43</xdr:row>
      <xdr:rowOff>152400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2E5864DC-26BF-2AE5-B198-AED69826C4BC}"/>
            </a:ext>
          </a:extLst>
        </xdr:cNvPr>
        <xdr:cNvSpPr/>
      </xdr:nvSpPr>
      <xdr:spPr>
        <a:xfrm>
          <a:off x="238124" y="5172076"/>
          <a:ext cx="4733925" cy="3171824"/>
        </a:xfrm>
        <a:prstGeom prst="roundRect">
          <a:avLst>
            <a:gd name="adj" fmla="val 4655"/>
          </a:avLst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390524</xdr:colOff>
      <xdr:row>27</xdr:row>
      <xdr:rowOff>38101</xdr:rowOff>
    </xdr:from>
    <xdr:to>
      <xdr:col>16</xdr:col>
      <xdr:colOff>247649</xdr:colOff>
      <xdr:row>43</xdr:row>
      <xdr:rowOff>161925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7F0D24AE-5945-B823-4D2E-FD23CDD5A81D}"/>
            </a:ext>
          </a:extLst>
        </xdr:cNvPr>
        <xdr:cNvSpPr/>
      </xdr:nvSpPr>
      <xdr:spPr>
        <a:xfrm>
          <a:off x="5267324" y="5181601"/>
          <a:ext cx="4733925" cy="3171824"/>
        </a:xfrm>
        <a:prstGeom prst="roundRect">
          <a:avLst>
            <a:gd name="adj" fmla="val 4655"/>
          </a:avLst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295275</xdr:colOff>
      <xdr:row>28</xdr:row>
      <xdr:rowOff>38100</xdr:rowOff>
    </xdr:from>
    <xdr:to>
      <xdr:col>7</xdr:col>
      <xdr:colOff>600075</xdr:colOff>
      <xdr:row>42</xdr:row>
      <xdr:rowOff>114300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3D3E4A9B-27DC-47A7-8945-C04B3F51B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485775</xdr:colOff>
      <xdr:row>28</xdr:row>
      <xdr:rowOff>19050</xdr:rowOff>
    </xdr:from>
    <xdr:to>
      <xdr:col>16</xdr:col>
      <xdr:colOff>180975</xdr:colOff>
      <xdr:row>42</xdr:row>
      <xdr:rowOff>95250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3B6148F9-385F-4839-A934-E471B1827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hs" refreshedDate="45997.867728472222" createdVersion="8" refreshedVersion="8" minRefreshableVersion="3" recordCount="40" xr:uid="{D768D843-B1F5-4463-9FE1-D6782B19A7F1}">
  <cacheSource type="worksheet">
    <worksheetSource ref="A1:J41" sheet="Inventory"/>
  </cacheSource>
  <cacheFields count="10">
    <cacheField name="Item Code" numFmtId="0">
      <sharedItems count="40">
        <s v="SKU200"/>
        <s v="SKU201"/>
        <s v="SKU202"/>
        <s v="SKU203"/>
        <s v="SKU204"/>
        <s v="SKU205"/>
        <s v="SKU206"/>
        <s v="SKU207"/>
        <s v="SKU208"/>
        <s v="SKU209"/>
        <s v="SKU210"/>
        <s v="SKU211"/>
        <s v="SKU212"/>
        <s v="SKU213"/>
        <s v="SKU214"/>
        <s v="SKU215"/>
        <s v="SKU216"/>
        <s v="SKU217"/>
        <s v="SKU218"/>
        <s v="SKU219"/>
        <s v="SKU220"/>
        <s v="SKU221"/>
        <s v="SKU222"/>
        <s v="SKU223"/>
        <s v="SKU224"/>
        <s v="SKU225"/>
        <s v="SKU226"/>
        <s v="SKU227"/>
        <s v="SKU228"/>
        <s v="SKU229"/>
        <s v="SKU230"/>
        <s v="SKU231"/>
        <s v="SKU232"/>
        <s v="SKU233"/>
        <s v="SKU234"/>
        <s v="SKU235"/>
        <s v="SKU236"/>
        <s v="SKU237"/>
        <s v="SKU238"/>
        <s v="SKU239"/>
      </sharedItems>
    </cacheField>
    <cacheField name="Item" numFmtId="0">
      <sharedItems count="8">
        <s v="Desk Lamp"/>
        <s v="Cotton Shirt"/>
        <s v="Wireless Mouse"/>
        <s v="Thermal Jacket"/>
        <s v="Oak Desk"/>
        <s v="Ergo Chair"/>
        <s v="LED Monitor"/>
        <s v="X-Phone Case"/>
      </sharedItems>
    </cacheField>
    <cacheField name="Supplier" numFmtId="0">
      <sharedItems count="5">
        <s v="BritGoods Ltd"/>
        <s v="Crown Suppliers"/>
        <s v="Union Parts"/>
        <s v="NorthTech Supplies"/>
        <s v="Westfield Distributors"/>
      </sharedItems>
    </cacheField>
    <cacheField name="Unit Cost (£)" numFmtId="164">
      <sharedItems containsSemiMixedTypes="0" containsString="0" containsNumber="1" minValue="4.59" maxValue="118.92"/>
    </cacheField>
    <cacheField name="Stock Quantity" numFmtId="0">
      <sharedItems containsSemiMixedTypes="0" containsString="0" containsNumber="1" containsInteger="1" minValue="15" maxValue="250"/>
    </cacheField>
    <cacheField name="Reorder Point" numFmtId="0">
      <sharedItems containsSemiMixedTypes="0" containsString="0" containsNumber="1" containsInteger="1" minValue="20" maxValue="80"/>
    </cacheField>
    <cacheField name="Lead Time (days)" numFmtId="0">
      <sharedItems containsSemiMixedTypes="0" containsString="0" containsNumber="1" containsInteger="1" minValue="3" maxValue="20"/>
    </cacheField>
    <cacheField name="Low Stock" numFmtId="0">
      <sharedItems count="2">
        <s v="NO"/>
        <s v="YES"/>
      </sharedItems>
    </cacheField>
    <cacheField name="Suppier Email" numFmtId="0">
      <sharedItems/>
    </cacheField>
    <cacheField name="Supplier Phone" numFmtId="0">
      <sharedItems containsString="0" containsBlank="1" containsNumber="1" containsInteger="1" minValue="1506758965" maxValue="7626387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hs" refreshedDate="45997.876069328704" createdVersion="8" refreshedVersion="8" minRefreshableVersion="3" recordCount="11" xr:uid="{19E5560D-E58E-40D1-83FE-9AACE8F23E15}">
  <cacheSource type="worksheet">
    <worksheetSource ref="A1:K12" sheet="Reorder Report"/>
  </cacheSource>
  <cacheFields count="11">
    <cacheField name="Item Code" numFmtId="0">
      <sharedItems count="11">
        <s v="SKU203"/>
        <s v="SKU205"/>
        <s v="SKU213"/>
        <s v="SKU214"/>
        <s v="SKU217"/>
        <s v="SKU218"/>
        <s v="SKU219"/>
        <s v="SKU220"/>
        <s v="SKU225"/>
        <s v="SKU230"/>
        <s v="SKU232"/>
      </sharedItems>
    </cacheField>
    <cacheField name="Item" numFmtId="0">
      <sharedItems count="7">
        <s v="Thermal Jacket"/>
        <s v="Desk Lamp"/>
        <s v="X-Phone Case"/>
        <s v="LED Monitor"/>
        <s v="Oak Desk"/>
        <s v="Cotton Shirt"/>
        <s v="Ergo Chair"/>
      </sharedItems>
    </cacheField>
    <cacheField name="Supplier" numFmtId="0">
      <sharedItems count="5">
        <s v="Union Parts"/>
        <s v="BritGoods Ltd"/>
        <s v="Westfield Distributors"/>
        <s v="Crown Suppliers"/>
        <s v="NorthTech Supplies"/>
      </sharedItems>
    </cacheField>
    <cacheField name="Unit Cost (£)" numFmtId="165">
      <sharedItems containsSemiMixedTypes="0" containsString="0" containsNumber="1" minValue="4.59" maxValue="103.58"/>
    </cacheField>
    <cacheField name="Stock Quantity" numFmtId="0">
      <sharedItems containsSemiMixedTypes="0" containsString="0" containsNumber="1" containsInteger="1" minValue="15" maxValue="72"/>
    </cacheField>
    <cacheField name="Reorder Point" numFmtId="0">
      <sharedItems containsSemiMixedTypes="0" containsString="0" containsNumber="1" containsInteger="1" minValue="20" maxValue="80"/>
    </cacheField>
    <cacheField name="Target Stock" numFmtId="0">
      <sharedItems containsSemiMixedTypes="0" containsString="0" containsNumber="1" containsInteger="1" minValue="40" maxValue="160"/>
    </cacheField>
    <cacheField name="Suggested Quantity" numFmtId="0">
      <sharedItems containsSemiMixedTypes="0" containsString="0" containsNumber="1" containsInteger="1" minValue="25" maxValue="117"/>
    </cacheField>
    <cacheField name="Supplier Email" numFmtId="0">
      <sharedItems/>
    </cacheField>
    <cacheField name="Supplier Phone" numFmtId="0">
      <sharedItems containsSemiMixedTypes="0" containsString="0" containsNumber="1" containsInteger="1" minValue="1329365950" maxValue="8764209420"/>
    </cacheField>
    <cacheField name="Total Order Value" numFmtId="165">
      <sharedItems containsSemiMixedTypes="0" containsString="0" containsNumber="1" minValue="206.54999999999998" maxValue="10668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n v="101.19"/>
    <n v="172"/>
    <n v="20"/>
    <n v="4"/>
    <x v="0"/>
    <s v=""/>
    <m/>
  </r>
  <r>
    <x v="1"/>
    <x v="1"/>
    <x v="0"/>
    <n v="70.34"/>
    <n v="128"/>
    <n v="78"/>
    <n v="18"/>
    <x v="0"/>
    <s v=""/>
    <m/>
  </r>
  <r>
    <x v="2"/>
    <x v="2"/>
    <x v="1"/>
    <n v="59.99"/>
    <n v="212"/>
    <n v="40"/>
    <n v="19"/>
    <x v="0"/>
    <s v=""/>
    <m/>
  </r>
  <r>
    <x v="3"/>
    <x v="3"/>
    <x v="2"/>
    <n v="78.17"/>
    <n v="72"/>
    <n v="80"/>
    <n v="15"/>
    <x v="1"/>
    <s v="Rana.Dubey@union.com"/>
    <n v="7294739829"/>
  </r>
  <r>
    <x v="4"/>
    <x v="0"/>
    <x v="3"/>
    <n v="73.31"/>
    <n v="185"/>
    <n v="28"/>
    <n v="9"/>
    <x v="0"/>
    <s v=""/>
    <m/>
  </r>
  <r>
    <x v="5"/>
    <x v="0"/>
    <x v="0"/>
    <n v="17.41"/>
    <n v="36"/>
    <n v="65"/>
    <n v="16"/>
    <x v="1"/>
    <s v="Adam.Francis@britgoods.com"/>
    <n v="7626387985"/>
  </r>
  <r>
    <x v="6"/>
    <x v="4"/>
    <x v="0"/>
    <n v="13.17"/>
    <n v="46"/>
    <n v="21"/>
    <n v="12"/>
    <x v="0"/>
    <s v=""/>
    <m/>
  </r>
  <r>
    <x v="7"/>
    <x v="5"/>
    <x v="3"/>
    <n v="37.340000000000003"/>
    <n v="156"/>
    <n v="36"/>
    <n v="20"/>
    <x v="0"/>
    <s v=""/>
    <m/>
  </r>
  <r>
    <x v="8"/>
    <x v="6"/>
    <x v="3"/>
    <n v="37"/>
    <n v="124"/>
    <n v="80"/>
    <n v="19"/>
    <x v="0"/>
    <s v=""/>
    <m/>
  </r>
  <r>
    <x v="9"/>
    <x v="5"/>
    <x v="3"/>
    <n v="58.91"/>
    <n v="157"/>
    <n v="48"/>
    <n v="7"/>
    <x v="0"/>
    <s v=""/>
    <m/>
  </r>
  <r>
    <x v="10"/>
    <x v="1"/>
    <x v="1"/>
    <n v="74.89"/>
    <n v="250"/>
    <n v="59"/>
    <n v="11"/>
    <x v="0"/>
    <s v=""/>
    <m/>
  </r>
  <r>
    <x v="11"/>
    <x v="5"/>
    <x v="0"/>
    <n v="63.83"/>
    <n v="50"/>
    <n v="27"/>
    <n v="20"/>
    <x v="0"/>
    <s v=""/>
    <m/>
  </r>
  <r>
    <x v="12"/>
    <x v="7"/>
    <x v="3"/>
    <n v="29.83"/>
    <n v="110"/>
    <n v="47"/>
    <n v="16"/>
    <x v="0"/>
    <s v=""/>
    <m/>
  </r>
  <r>
    <x v="13"/>
    <x v="7"/>
    <x v="0"/>
    <n v="86.07"/>
    <n v="15"/>
    <n v="20"/>
    <n v="14"/>
    <x v="1"/>
    <s v="Adam.Francis@britgoods.com"/>
    <n v="7626387985"/>
  </r>
  <r>
    <x v="14"/>
    <x v="6"/>
    <x v="0"/>
    <n v="66.78"/>
    <n v="49"/>
    <n v="54"/>
    <n v="15"/>
    <x v="1"/>
    <s v="Adam.Francis@britgoods.com"/>
    <n v="7626387985"/>
  </r>
  <r>
    <x v="15"/>
    <x v="6"/>
    <x v="3"/>
    <n v="4.9400000000000004"/>
    <n v="161"/>
    <n v="22"/>
    <n v="13"/>
    <x v="0"/>
    <s v=""/>
    <m/>
  </r>
  <r>
    <x v="16"/>
    <x v="4"/>
    <x v="4"/>
    <n v="32.71"/>
    <n v="135"/>
    <n v="77"/>
    <n v="10"/>
    <x v="0"/>
    <s v=""/>
    <m/>
  </r>
  <r>
    <x v="17"/>
    <x v="7"/>
    <x v="4"/>
    <n v="68.39"/>
    <n v="41"/>
    <n v="79"/>
    <n v="16"/>
    <x v="1"/>
    <s v="Connor.Diabolic@westfield.com"/>
    <n v="3017644989"/>
  </r>
  <r>
    <x v="18"/>
    <x v="4"/>
    <x v="1"/>
    <n v="93.12"/>
    <n v="15"/>
    <n v="23"/>
    <n v="17"/>
    <x v="1"/>
    <s v="Tia.McMillian@crown.com"/>
    <n v="1506758965"/>
  </r>
  <r>
    <x v="19"/>
    <x v="1"/>
    <x v="1"/>
    <n v="85.06"/>
    <n v="41"/>
    <n v="72"/>
    <n v="17"/>
    <x v="1"/>
    <s v="Tia.McMillian@crown.com"/>
    <n v="1506758965"/>
  </r>
  <r>
    <x v="20"/>
    <x v="1"/>
    <x v="0"/>
    <n v="103.58"/>
    <n v="45"/>
    <n v="74"/>
    <n v="20"/>
    <x v="1"/>
    <s v="Adam.Francis@britgoods.com"/>
    <n v="7626387985"/>
  </r>
  <r>
    <x v="21"/>
    <x v="6"/>
    <x v="1"/>
    <n v="74.89"/>
    <n v="98"/>
    <n v="63"/>
    <n v="9"/>
    <x v="0"/>
    <s v=""/>
    <m/>
  </r>
  <r>
    <x v="22"/>
    <x v="6"/>
    <x v="2"/>
    <n v="51.57"/>
    <n v="191"/>
    <n v="25"/>
    <n v="19"/>
    <x v="0"/>
    <s v=""/>
    <m/>
  </r>
  <r>
    <x v="23"/>
    <x v="3"/>
    <x v="3"/>
    <n v="106.52"/>
    <n v="246"/>
    <n v="54"/>
    <n v="15"/>
    <x v="0"/>
    <s v=""/>
    <m/>
  </r>
  <r>
    <x v="24"/>
    <x v="4"/>
    <x v="2"/>
    <n v="57.04"/>
    <n v="63"/>
    <n v="47"/>
    <n v="20"/>
    <x v="0"/>
    <s v=""/>
    <m/>
  </r>
  <r>
    <x v="25"/>
    <x v="0"/>
    <x v="3"/>
    <n v="4.59"/>
    <n v="19"/>
    <n v="32"/>
    <n v="7"/>
    <x v="1"/>
    <s v="Fia.Ghazal@northtech.com"/>
    <n v="3488158216"/>
  </r>
  <r>
    <x v="26"/>
    <x v="4"/>
    <x v="0"/>
    <n v="108.46"/>
    <n v="183"/>
    <n v="58"/>
    <n v="7"/>
    <x v="0"/>
    <s v=""/>
    <m/>
  </r>
  <r>
    <x v="27"/>
    <x v="5"/>
    <x v="1"/>
    <n v="102.58"/>
    <n v="187"/>
    <n v="34"/>
    <n v="14"/>
    <x v="0"/>
    <s v=""/>
    <m/>
  </r>
  <r>
    <x v="28"/>
    <x v="4"/>
    <x v="2"/>
    <n v="89.64"/>
    <n v="186"/>
    <n v="74"/>
    <n v="5"/>
    <x v="0"/>
    <s v=""/>
    <m/>
  </r>
  <r>
    <x v="29"/>
    <x v="2"/>
    <x v="4"/>
    <n v="86.3"/>
    <n v="195"/>
    <n v="67"/>
    <n v="3"/>
    <x v="0"/>
    <s v=""/>
    <m/>
  </r>
  <r>
    <x v="30"/>
    <x v="1"/>
    <x v="2"/>
    <n v="61.44"/>
    <n v="24"/>
    <n v="61"/>
    <n v="4"/>
    <x v="1"/>
    <s v="Rana.Dubey@union.com"/>
    <n v="7294739829"/>
  </r>
  <r>
    <x v="31"/>
    <x v="1"/>
    <x v="4"/>
    <n v="99.85"/>
    <n v="42"/>
    <n v="20"/>
    <n v="20"/>
    <x v="0"/>
    <s v=""/>
    <m/>
  </r>
  <r>
    <x v="32"/>
    <x v="5"/>
    <x v="4"/>
    <n v="33.07"/>
    <n v="19"/>
    <n v="59"/>
    <n v="7"/>
    <x v="1"/>
    <s v="Connor.Diabolic@westfield.com"/>
    <n v="3017644989"/>
  </r>
  <r>
    <x v="33"/>
    <x v="2"/>
    <x v="1"/>
    <n v="55.85"/>
    <n v="104"/>
    <n v="27"/>
    <n v="17"/>
    <x v="0"/>
    <s v=""/>
    <m/>
  </r>
  <r>
    <x v="34"/>
    <x v="5"/>
    <x v="4"/>
    <n v="116.53"/>
    <n v="107"/>
    <n v="57"/>
    <n v="20"/>
    <x v="0"/>
    <s v=""/>
    <m/>
  </r>
  <r>
    <x v="35"/>
    <x v="6"/>
    <x v="1"/>
    <n v="84.52"/>
    <n v="89"/>
    <n v="62"/>
    <n v="18"/>
    <x v="0"/>
    <s v=""/>
    <m/>
  </r>
  <r>
    <x v="36"/>
    <x v="4"/>
    <x v="3"/>
    <n v="118.92"/>
    <n v="210"/>
    <n v="66"/>
    <n v="7"/>
    <x v="0"/>
    <s v=""/>
    <m/>
  </r>
  <r>
    <x v="37"/>
    <x v="1"/>
    <x v="2"/>
    <n v="47.08"/>
    <n v="244"/>
    <n v="72"/>
    <n v="15"/>
    <x v="0"/>
    <s v=""/>
    <m/>
  </r>
  <r>
    <x v="38"/>
    <x v="1"/>
    <x v="0"/>
    <n v="75.14"/>
    <n v="90"/>
    <n v="56"/>
    <n v="6"/>
    <x v="0"/>
    <s v=""/>
    <m/>
  </r>
  <r>
    <x v="39"/>
    <x v="4"/>
    <x v="4"/>
    <n v="56.27"/>
    <n v="78"/>
    <n v="59"/>
    <n v="19"/>
    <x v="0"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n v="78.17"/>
    <n v="72"/>
    <n v="80"/>
    <n v="160"/>
    <n v="88"/>
    <s v="Rana.Dubey@union.com"/>
    <n v="2428584013"/>
    <n v="6878.96"/>
  </r>
  <r>
    <x v="1"/>
    <x v="1"/>
    <x v="1"/>
    <n v="17.41"/>
    <n v="36"/>
    <n v="65"/>
    <n v="130"/>
    <n v="94"/>
    <s v="Adam.Francis@britgoods.com"/>
    <n v="5732465527"/>
    <n v="1636.54"/>
  </r>
  <r>
    <x v="2"/>
    <x v="2"/>
    <x v="1"/>
    <n v="86.07"/>
    <n v="15"/>
    <n v="20"/>
    <n v="40"/>
    <n v="25"/>
    <s v="Adam.Francis@britgoods.com"/>
    <n v="5732465527"/>
    <n v="2151.75"/>
  </r>
  <r>
    <x v="3"/>
    <x v="3"/>
    <x v="1"/>
    <n v="66.78"/>
    <n v="49"/>
    <n v="54"/>
    <n v="108"/>
    <n v="59"/>
    <s v="Adam.Francis@britgoods.com"/>
    <n v="5732465527"/>
    <n v="3940.02"/>
  </r>
  <r>
    <x v="4"/>
    <x v="2"/>
    <x v="2"/>
    <n v="68.39"/>
    <n v="41"/>
    <n v="79"/>
    <n v="158"/>
    <n v="117"/>
    <s v="Connor.Diabolic@westfield.com"/>
    <n v="8764209420"/>
    <n v="8001.63"/>
  </r>
  <r>
    <x v="5"/>
    <x v="4"/>
    <x v="3"/>
    <n v="93.12"/>
    <n v="15"/>
    <n v="23"/>
    <n v="46"/>
    <n v="31"/>
    <s v="Tia.McMillian@crown.com"/>
    <n v="1329365950"/>
    <n v="2886.7200000000003"/>
  </r>
  <r>
    <x v="6"/>
    <x v="5"/>
    <x v="3"/>
    <n v="85.06"/>
    <n v="41"/>
    <n v="72"/>
    <n v="144"/>
    <n v="103"/>
    <s v="Tia.McMillian@crown.com"/>
    <n v="1329365950"/>
    <n v="8761.18"/>
  </r>
  <r>
    <x v="7"/>
    <x v="5"/>
    <x v="1"/>
    <n v="103.58"/>
    <n v="45"/>
    <n v="74"/>
    <n v="148"/>
    <n v="103"/>
    <s v="Adam.Francis@britgoods.com"/>
    <n v="5732465527"/>
    <n v="10668.74"/>
  </r>
  <r>
    <x v="8"/>
    <x v="1"/>
    <x v="4"/>
    <n v="4.59"/>
    <n v="19"/>
    <n v="32"/>
    <n v="64"/>
    <n v="45"/>
    <s v="Fia.Ghazal@northtech.com"/>
    <n v="5731611374"/>
    <n v="206.54999999999998"/>
  </r>
  <r>
    <x v="9"/>
    <x v="5"/>
    <x v="0"/>
    <n v="61.44"/>
    <n v="24"/>
    <n v="61"/>
    <n v="122"/>
    <n v="98"/>
    <s v="Rana.Dubey@union.com"/>
    <n v="2428584013"/>
    <n v="6021.12"/>
  </r>
  <r>
    <x v="10"/>
    <x v="6"/>
    <x v="2"/>
    <n v="33.07"/>
    <n v="19"/>
    <n v="59"/>
    <n v="118"/>
    <n v="99"/>
    <s v="Connor.Diabolic@westfield.com"/>
    <n v="8764209420"/>
    <n v="3273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C3424-D9DC-4C2B-9BB0-61A2B69486D4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1:H9" firstHeaderRow="1" firstDataRow="1" firstDataCol="1"/>
  <pivotFields count="10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9">
        <item sd="0" x="1"/>
        <item sd="0" x="0"/>
        <item sd="0" x="5"/>
        <item sd="0" x="6"/>
        <item sd="0" x="4"/>
        <item sd="0" x="3"/>
        <item x="2"/>
        <item sd="0" x="7"/>
        <item t="default"/>
      </items>
    </pivotField>
    <pivotField showAll="0"/>
    <pivotField numFmtId="164" showAll="0"/>
    <pivotField showAll="0"/>
    <pivotField showAll="0"/>
    <pivotField showAll="0"/>
    <pivotField axis="axisRow" dataField="1" showAll="0" defaultSubtotal="0">
      <items count="2">
        <item h="1" x="0"/>
        <item x="1"/>
      </items>
    </pivotField>
    <pivotField showAll="0"/>
    <pivotField showAll="0"/>
  </pivotFields>
  <rowFields count="2">
    <field x="1"/>
    <field x="7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Count of Low Stock" fld="7" subtotal="count" baseField="1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CFB9E-3892-468F-B960-FB33DD6B0790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3:I22" firstHeaderRow="0" firstDataRow="1" firstDataCol="1"/>
  <pivotFields count="10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9">
        <item x="1"/>
        <item x="0"/>
        <item x="5"/>
        <item x="6"/>
        <item x="4"/>
        <item x="3"/>
        <item x="2"/>
        <item x="7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numFmtId="164"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ock Quantity" fld="4" baseField="0" baseItem="0"/>
    <dataField name="Sum of Reorder Point" fld="5" baseField="0" baseItem="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A632F-CE74-4B55-9839-A317832374DB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3:E19" firstHeaderRow="1" firstDataRow="1" firstDataCol="1"/>
  <pivotFields count="10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>
      <items count="9">
        <item x="1"/>
        <item x="0"/>
        <item x="5"/>
        <item x="6"/>
        <item x="4"/>
        <item x="3"/>
        <item x="2"/>
        <item x="7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numFmtId="164"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ead Time (days)" fld="6" subtotal="average" baseField="2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E7B11-2938-4385-BE6F-D4C8D6487990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0">
    <pivotField dataFiel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tem C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C21D2-3B32-4F7C-960C-F19C18F2EFA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10" firstHeaderRow="1" firstDataRow="1" firstDataCol="1"/>
  <pivotFields count="10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9">
        <item x="1"/>
        <item x="0"/>
        <item x="5"/>
        <item x="6"/>
        <item x="4"/>
        <item x="3"/>
        <item x="2"/>
        <item x="7"/>
        <item t="default"/>
      </items>
    </pivotField>
    <pivotField showAll="0"/>
    <pivotField numFmtId="164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tock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51583-6A0F-4153-99C5-911F24D363D6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9" firstHeaderRow="1" firstDataRow="1" firstDataCol="1"/>
  <pivotFields count="11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8">
        <item x="5"/>
        <item x="1"/>
        <item x="6"/>
        <item x="3"/>
        <item x="4"/>
        <item x="0"/>
        <item x="2"/>
        <item t="default"/>
      </items>
    </pivotField>
    <pivotField axis="axisRow" showAll="0">
      <items count="6">
        <item x="1"/>
        <item x="3"/>
        <item x="4"/>
        <item x="0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Order Value" fld="10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42BAE-5ABA-4C52-B4E7-3B67AFA46F47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1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8">
        <item x="5"/>
        <item x="1"/>
        <item x="6"/>
        <item x="3"/>
        <item x="4"/>
        <item x="0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Order Value" fld="10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na.Dubey@union.com" TargetMode="External"/><Relationship Id="rId2" Type="http://schemas.openxmlformats.org/officeDocument/2006/relationships/hyperlink" Target="mailto:Tia.McMillian@crown.com" TargetMode="External"/><Relationship Id="rId1" Type="http://schemas.openxmlformats.org/officeDocument/2006/relationships/hyperlink" Target="mailto:Adam.Francis@britgoods.com" TargetMode="External"/><Relationship Id="rId5" Type="http://schemas.openxmlformats.org/officeDocument/2006/relationships/hyperlink" Target="mailto:Connor.Diabolic@westfield.com" TargetMode="External"/><Relationship Id="rId4" Type="http://schemas.openxmlformats.org/officeDocument/2006/relationships/hyperlink" Target="mailto:Fia.Ghazal@northtech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E15" sqref="E1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N10" sqref="N10"/>
    </sheetView>
  </sheetViews>
  <sheetFormatPr defaultRowHeight="15" x14ac:dyDescent="0.25"/>
  <cols>
    <col min="1" max="1" width="10.140625" style="2" bestFit="1" customWidth="1"/>
    <col min="2" max="2" width="15.28515625" style="2" bestFit="1" customWidth="1"/>
    <col min="3" max="3" width="20.85546875" style="2" bestFit="1" customWidth="1"/>
    <col min="4" max="4" width="12" style="2" bestFit="1" customWidth="1"/>
    <col min="5" max="5" width="14" style="2" bestFit="1" customWidth="1"/>
    <col min="6" max="6" width="13.42578125" style="2" bestFit="1" customWidth="1"/>
    <col min="7" max="7" width="16" style="2" bestFit="1" customWidth="1"/>
    <col min="9" max="9" width="30.42578125" bestFit="1" customWidth="1"/>
    <col min="10" max="10" width="14.7109375" bestFit="1" customWidth="1"/>
  </cols>
  <sheetData>
    <row r="1" spans="1:1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68</v>
      </c>
      <c r="I1" s="6" t="s">
        <v>82</v>
      </c>
      <c r="J1" s="6" t="s">
        <v>83</v>
      </c>
    </row>
    <row r="2" spans="1:10" x14ac:dyDescent="0.25">
      <c r="A2" s="2" t="s">
        <v>15</v>
      </c>
      <c r="B2" s="2" t="s">
        <v>16</v>
      </c>
      <c r="C2" s="2" t="s">
        <v>17</v>
      </c>
      <c r="D2" s="3">
        <v>101.19</v>
      </c>
      <c r="E2" s="2">
        <v>172</v>
      </c>
      <c r="F2" s="2">
        <v>20</v>
      </c>
      <c r="G2" s="2">
        <v>4</v>
      </c>
      <c r="H2" t="str">
        <f>IF(E2&lt;=F2,"YES","NO")</f>
        <v>NO</v>
      </c>
      <c r="I2" t="str" cm="1">
        <f t="array" ref="I2">IF(H2="YES",_xlfn.XLOOKUP(C2,Supplier!$A:$A,Supplier!$C:$D),"")</f>
        <v/>
      </c>
    </row>
    <row r="3" spans="1:10" x14ac:dyDescent="0.25">
      <c r="A3" s="2" t="s">
        <v>18</v>
      </c>
      <c r="B3" s="2" t="s">
        <v>19</v>
      </c>
      <c r="C3" s="2" t="s">
        <v>17</v>
      </c>
      <c r="D3" s="3">
        <v>70.34</v>
      </c>
      <c r="E3" s="2">
        <v>128</v>
      </c>
      <c r="F3" s="2">
        <v>78</v>
      </c>
      <c r="G3" s="2">
        <v>18</v>
      </c>
      <c r="H3" t="str">
        <f t="shared" ref="H3:H41" si="0">IF(E3&lt;=F3,"YES","NO")</f>
        <v>NO</v>
      </c>
      <c r="I3" t="str" cm="1">
        <f t="array" ref="I3">IF(H3="YES",_xlfn.XLOOKUP(C3,Supplier!$A:$A,Supplier!$C:$D),"")</f>
        <v/>
      </c>
    </row>
    <row r="4" spans="1:10" x14ac:dyDescent="0.25">
      <c r="A4" s="2" t="s">
        <v>20</v>
      </c>
      <c r="B4" s="2" t="s">
        <v>21</v>
      </c>
      <c r="C4" s="2" t="s">
        <v>22</v>
      </c>
      <c r="D4" s="3">
        <v>59.99</v>
      </c>
      <c r="E4" s="2">
        <v>212</v>
      </c>
      <c r="F4" s="2">
        <v>40</v>
      </c>
      <c r="G4" s="2">
        <v>19</v>
      </c>
      <c r="H4" t="str">
        <f t="shared" si="0"/>
        <v>NO</v>
      </c>
      <c r="I4" t="str" cm="1">
        <f t="array" ref="I4">IF(H4="YES",_xlfn.XLOOKUP(C4,Supplier!$A:$A,Supplier!$C:$D),"")</f>
        <v/>
      </c>
    </row>
    <row r="5" spans="1:10" x14ac:dyDescent="0.25">
      <c r="A5" s="2" t="s">
        <v>23</v>
      </c>
      <c r="B5" s="2" t="s">
        <v>24</v>
      </c>
      <c r="C5" s="2" t="s">
        <v>25</v>
      </c>
      <c r="D5" s="3">
        <v>78.17</v>
      </c>
      <c r="E5" s="2">
        <v>72</v>
      </c>
      <c r="F5" s="2">
        <v>80</v>
      </c>
      <c r="G5" s="2">
        <v>15</v>
      </c>
      <c r="H5" t="str">
        <f t="shared" si="0"/>
        <v>YES</v>
      </c>
      <c r="I5" t="str" cm="1">
        <f t="array" aca="1" ref="I5:J5" ca="1">IF(H5="YES",_xlfn.XLOOKUP(C5,Supplier!$A:$A,Supplier!$C:$D),"")</f>
        <v>Rana.Dubey@union.com</v>
      </c>
      <c r="J5">
        <f ca="1"/>
        <v>8164557242</v>
      </c>
    </row>
    <row r="6" spans="1:10" x14ac:dyDescent="0.25">
      <c r="A6" s="2" t="s">
        <v>26</v>
      </c>
      <c r="B6" s="2" t="s">
        <v>16</v>
      </c>
      <c r="C6" s="2" t="s">
        <v>27</v>
      </c>
      <c r="D6" s="3">
        <v>73.31</v>
      </c>
      <c r="E6" s="2">
        <v>185</v>
      </c>
      <c r="F6" s="2">
        <v>28</v>
      </c>
      <c r="G6" s="2">
        <v>9</v>
      </c>
      <c r="H6" t="str">
        <f t="shared" si="0"/>
        <v>NO</v>
      </c>
      <c r="I6" t="str" cm="1">
        <f t="array" ref="I6">IF(H6="YES",_xlfn.XLOOKUP(C6,Supplier!$A:$A,Supplier!$C:$D),"")</f>
        <v/>
      </c>
    </row>
    <row r="7" spans="1:10" x14ac:dyDescent="0.25">
      <c r="A7" s="2" t="s">
        <v>28</v>
      </c>
      <c r="B7" s="2" t="s">
        <v>16</v>
      </c>
      <c r="C7" s="2" t="s">
        <v>17</v>
      </c>
      <c r="D7" s="3">
        <v>17.41</v>
      </c>
      <c r="E7" s="2">
        <v>36</v>
      </c>
      <c r="F7" s="2">
        <v>65</v>
      </c>
      <c r="G7" s="2">
        <v>16</v>
      </c>
      <c r="H7" t="str">
        <f t="shared" si="0"/>
        <v>YES</v>
      </c>
      <c r="I7" t="str" cm="1">
        <f t="array" aca="1" ref="I7:J7" ca="1">IF(H7="YES",_xlfn.XLOOKUP(C7,Supplier!$A:$A,Supplier!$C:$D),"")</f>
        <v>Adam.Francis@britgoods.com</v>
      </c>
      <c r="J7">
        <f ca="1"/>
        <v>8707063874</v>
      </c>
    </row>
    <row r="8" spans="1:10" x14ac:dyDescent="0.25">
      <c r="A8" s="2" t="s">
        <v>29</v>
      </c>
      <c r="B8" s="2" t="s">
        <v>30</v>
      </c>
      <c r="C8" s="2" t="s">
        <v>17</v>
      </c>
      <c r="D8" s="3">
        <v>13.17</v>
      </c>
      <c r="E8" s="2">
        <v>46</v>
      </c>
      <c r="F8" s="2">
        <v>21</v>
      </c>
      <c r="G8" s="2">
        <v>12</v>
      </c>
      <c r="H8" t="str">
        <f t="shared" si="0"/>
        <v>NO</v>
      </c>
      <c r="I8" t="str" cm="1">
        <f t="array" ref="I8">IF(H8="YES",_xlfn.XLOOKUP(C8,Supplier!$A:$A,Supplier!$C:$D),"")</f>
        <v/>
      </c>
    </row>
    <row r="9" spans="1:10" x14ac:dyDescent="0.25">
      <c r="A9" s="2" t="s">
        <v>31</v>
      </c>
      <c r="B9" s="2" t="s">
        <v>32</v>
      </c>
      <c r="C9" s="2" t="s">
        <v>27</v>
      </c>
      <c r="D9" s="3">
        <v>37.340000000000003</v>
      </c>
      <c r="E9" s="2">
        <v>156</v>
      </c>
      <c r="F9" s="2">
        <v>36</v>
      </c>
      <c r="G9" s="2">
        <v>20</v>
      </c>
      <c r="H9" t="str">
        <f t="shared" si="0"/>
        <v>NO</v>
      </c>
      <c r="I9" t="str" cm="1">
        <f t="array" ref="I9">IF(H9="YES",_xlfn.XLOOKUP(C9,Supplier!$A:$A,Supplier!$C:$D),"")</f>
        <v/>
      </c>
    </row>
    <row r="10" spans="1:10" x14ac:dyDescent="0.25">
      <c r="A10" s="2" t="s">
        <v>33</v>
      </c>
      <c r="B10" s="2" t="s">
        <v>34</v>
      </c>
      <c r="C10" s="2" t="s">
        <v>27</v>
      </c>
      <c r="D10" s="3">
        <v>37</v>
      </c>
      <c r="E10" s="2">
        <v>124</v>
      </c>
      <c r="F10" s="2">
        <v>80</v>
      </c>
      <c r="G10" s="2">
        <v>19</v>
      </c>
      <c r="H10" t="str">
        <f t="shared" si="0"/>
        <v>NO</v>
      </c>
      <c r="I10" t="str" cm="1">
        <f t="array" ref="I10">IF(H10="YES",_xlfn.XLOOKUP(C10,Supplier!$A:$A,Supplier!$C:$D),"")</f>
        <v/>
      </c>
    </row>
    <row r="11" spans="1:10" x14ac:dyDescent="0.25">
      <c r="A11" s="2" t="s">
        <v>35</v>
      </c>
      <c r="B11" s="2" t="s">
        <v>32</v>
      </c>
      <c r="C11" s="2" t="s">
        <v>27</v>
      </c>
      <c r="D11" s="3">
        <v>58.91</v>
      </c>
      <c r="E11" s="2">
        <v>157</v>
      </c>
      <c r="F11" s="2">
        <v>48</v>
      </c>
      <c r="G11" s="2">
        <v>7</v>
      </c>
      <c r="H11" t="str">
        <f t="shared" si="0"/>
        <v>NO</v>
      </c>
      <c r="I11" t="str" cm="1">
        <f t="array" ref="I11">IF(H11="YES",_xlfn.XLOOKUP(C11,Supplier!$A:$A,Supplier!$C:$D),"")</f>
        <v/>
      </c>
    </row>
    <row r="12" spans="1:10" x14ac:dyDescent="0.25">
      <c r="A12" s="2" t="s">
        <v>36</v>
      </c>
      <c r="B12" s="2" t="s">
        <v>19</v>
      </c>
      <c r="C12" s="2" t="s">
        <v>22</v>
      </c>
      <c r="D12" s="3">
        <v>74.89</v>
      </c>
      <c r="E12" s="2">
        <v>250</v>
      </c>
      <c r="F12" s="2">
        <v>59</v>
      </c>
      <c r="G12" s="2">
        <v>11</v>
      </c>
      <c r="H12" t="str">
        <f t="shared" si="0"/>
        <v>NO</v>
      </c>
      <c r="I12" t="str" cm="1">
        <f t="array" ref="I12">IF(H12="YES",_xlfn.XLOOKUP(C12,Supplier!$A:$A,Supplier!$C:$D),"")</f>
        <v/>
      </c>
    </row>
    <row r="13" spans="1:10" x14ac:dyDescent="0.25">
      <c r="A13" s="2" t="s">
        <v>37</v>
      </c>
      <c r="B13" s="2" t="s">
        <v>32</v>
      </c>
      <c r="C13" s="2" t="s">
        <v>17</v>
      </c>
      <c r="D13" s="3">
        <v>63.83</v>
      </c>
      <c r="E13" s="2">
        <v>50</v>
      </c>
      <c r="F13" s="2">
        <v>27</v>
      </c>
      <c r="G13" s="2">
        <v>20</v>
      </c>
      <c r="H13" t="str">
        <f t="shared" si="0"/>
        <v>NO</v>
      </c>
      <c r="I13" t="str" cm="1">
        <f t="array" ref="I13">IF(H13="YES",_xlfn.XLOOKUP(C13,Supplier!$A:$A,Supplier!$C:$D),"")</f>
        <v/>
      </c>
    </row>
    <row r="14" spans="1:10" x14ac:dyDescent="0.25">
      <c r="A14" s="2" t="s">
        <v>38</v>
      </c>
      <c r="B14" s="2" t="s">
        <v>39</v>
      </c>
      <c r="C14" s="2" t="s">
        <v>27</v>
      </c>
      <c r="D14" s="3">
        <v>29.83</v>
      </c>
      <c r="E14" s="2">
        <v>110</v>
      </c>
      <c r="F14" s="2">
        <v>47</v>
      </c>
      <c r="G14" s="2">
        <v>16</v>
      </c>
      <c r="H14" t="str">
        <f t="shared" si="0"/>
        <v>NO</v>
      </c>
      <c r="I14" t="str" cm="1">
        <f t="array" ref="I14">IF(H14="YES",_xlfn.XLOOKUP(C14,Supplier!$A:$A,Supplier!$C:$D),"")</f>
        <v/>
      </c>
    </row>
    <row r="15" spans="1:10" x14ac:dyDescent="0.25">
      <c r="A15" s="2" t="s">
        <v>40</v>
      </c>
      <c r="B15" s="2" t="s">
        <v>39</v>
      </c>
      <c r="C15" s="2" t="s">
        <v>17</v>
      </c>
      <c r="D15" s="3">
        <v>86.07</v>
      </c>
      <c r="E15" s="2">
        <v>15</v>
      </c>
      <c r="F15" s="2">
        <v>20</v>
      </c>
      <c r="G15" s="2">
        <v>14</v>
      </c>
      <c r="H15" t="str">
        <f t="shared" si="0"/>
        <v>YES</v>
      </c>
      <c r="I15" t="str" cm="1">
        <f t="array" aca="1" ref="I15:J15" ca="1">IF(H15="YES",_xlfn.XLOOKUP(C15,Supplier!$A:$A,Supplier!$C:$D),"")</f>
        <v>Adam.Francis@britgoods.com</v>
      </c>
      <c r="J15">
        <f ca="1"/>
        <v>8707063874</v>
      </c>
    </row>
    <row r="16" spans="1:10" x14ac:dyDescent="0.25">
      <c r="A16" s="2" t="s">
        <v>41</v>
      </c>
      <c r="B16" s="2" t="s">
        <v>34</v>
      </c>
      <c r="C16" s="2" t="s">
        <v>17</v>
      </c>
      <c r="D16" s="3">
        <v>66.78</v>
      </c>
      <c r="E16" s="2">
        <v>49</v>
      </c>
      <c r="F16" s="2">
        <v>54</v>
      </c>
      <c r="G16" s="2">
        <v>15</v>
      </c>
      <c r="H16" t="str">
        <f t="shared" si="0"/>
        <v>YES</v>
      </c>
      <c r="I16" t="str" cm="1">
        <f t="array" aca="1" ref="I16:J16" ca="1">IF(H16="YES",_xlfn.XLOOKUP(C16,Supplier!$A:$A,Supplier!$C:$D),"")</f>
        <v>Adam.Francis@britgoods.com</v>
      </c>
      <c r="J16">
        <f ca="1"/>
        <v>8707063874</v>
      </c>
    </row>
    <row r="17" spans="1:10" x14ac:dyDescent="0.25">
      <c r="A17" s="2" t="s">
        <v>42</v>
      </c>
      <c r="B17" s="2" t="s">
        <v>34</v>
      </c>
      <c r="C17" s="2" t="s">
        <v>27</v>
      </c>
      <c r="D17" s="3">
        <v>4.9400000000000004</v>
      </c>
      <c r="E17" s="2">
        <v>161</v>
      </c>
      <c r="F17" s="2">
        <v>22</v>
      </c>
      <c r="G17" s="2">
        <v>13</v>
      </c>
      <c r="H17" t="str">
        <f t="shared" si="0"/>
        <v>NO</v>
      </c>
      <c r="I17" t="str" cm="1">
        <f t="array" ref="I17">IF(H17="YES",_xlfn.XLOOKUP(C17,Supplier!$A:$A,Supplier!$C:$D),"")</f>
        <v/>
      </c>
    </row>
    <row r="18" spans="1:10" x14ac:dyDescent="0.25">
      <c r="A18" s="2" t="s">
        <v>43</v>
      </c>
      <c r="B18" s="2" t="s">
        <v>30</v>
      </c>
      <c r="C18" s="2" t="s">
        <v>44</v>
      </c>
      <c r="D18" s="3">
        <v>32.71</v>
      </c>
      <c r="E18" s="2">
        <v>135</v>
      </c>
      <c r="F18" s="2">
        <v>77</v>
      </c>
      <c r="G18" s="2">
        <v>10</v>
      </c>
      <c r="H18" t="str">
        <f t="shared" si="0"/>
        <v>NO</v>
      </c>
      <c r="I18" t="str" cm="1">
        <f t="array" ref="I18">IF(H18="YES",_xlfn.XLOOKUP(C18,Supplier!$A:$A,Supplier!$C:$D),"")</f>
        <v/>
      </c>
    </row>
    <row r="19" spans="1:10" x14ac:dyDescent="0.25">
      <c r="A19" s="2" t="s">
        <v>45</v>
      </c>
      <c r="B19" s="2" t="s">
        <v>39</v>
      </c>
      <c r="C19" s="2" t="s">
        <v>44</v>
      </c>
      <c r="D19" s="3">
        <v>68.39</v>
      </c>
      <c r="E19" s="2">
        <v>41</v>
      </c>
      <c r="F19" s="2">
        <v>79</v>
      </c>
      <c r="G19" s="2">
        <v>16</v>
      </c>
      <c r="H19" t="str">
        <f t="shared" si="0"/>
        <v>YES</v>
      </c>
      <c r="I19" t="str" cm="1">
        <f t="array" aca="1" ref="I19:J19" ca="1">IF(H19="YES",_xlfn.XLOOKUP(C19,Supplier!$A:$A,Supplier!$C:$D),"")</f>
        <v>Connor.Diabolic@westfield.com</v>
      </c>
      <c r="J19">
        <f ca="1"/>
        <v>7078282595</v>
      </c>
    </row>
    <row r="20" spans="1:10" x14ac:dyDescent="0.25">
      <c r="A20" s="2" t="s">
        <v>46</v>
      </c>
      <c r="B20" s="2" t="s">
        <v>30</v>
      </c>
      <c r="C20" s="2" t="s">
        <v>22</v>
      </c>
      <c r="D20" s="3">
        <v>93.12</v>
      </c>
      <c r="E20" s="2">
        <v>15</v>
      </c>
      <c r="F20" s="2">
        <v>23</v>
      </c>
      <c r="G20" s="2">
        <v>17</v>
      </c>
      <c r="H20" t="str">
        <f t="shared" si="0"/>
        <v>YES</v>
      </c>
      <c r="I20" t="str" cm="1">
        <f t="array" aca="1" ref="I20:J20" ca="1">IF(H20="YES",_xlfn.XLOOKUP(C20,Supplier!$A:$A,Supplier!$C:$D),"")</f>
        <v>Tia.McMillian@crown.com</v>
      </c>
      <c r="J20">
        <f ca="1"/>
        <v>8487915906</v>
      </c>
    </row>
    <row r="21" spans="1:10" x14ac:dyDescent="0.25">
      <c r="A21" s="2" t="s">
        <v>47</v>
      </c>
      <c r="B21" s="2" t="s">
        <v>19</v>
      </c>
      <c r="C21" s="2" t="s">
        <v>22</v>
      </c>
      <c r="D21" s="3">
        <v>85.06</v>
      </c>
      <c r="E21" s="2">
        <v>41</v>
      </c>
      <c r="F21" s="2">
        <v>72</v>
      </c>
      <c r="G21" s="2">
        <v>17</v>
      </c>
      <c r="H21" t="str">
        <f t="shared" si="0"/>
        <v>YES</v>
      </c>
      <c r="I21" t="str" cm="1">
        <f t="array" aca="1" ref="I21:J21" ca="1">IF(H21="YES",_xlfn.XLOOKUP(C21,Supplier!$A:$A,Supplier!$C:$D),"")</f>
        <v>Tia.McMillian@crown.com</v>
      </c>
      <c r="J21">
        <f ca="1"/>
        <v>8487915906</v>
      </c>
    </row>
    <row r="22" spans="1:10" x14ac:dyDescent="0.25">
      <c r="A22" s="2" t="s">
        <v>48</v>
      </c>
      <c r="B22" s="2" t="s">
        <v>19</v>
      </c>
      <c r="C22" s="2" t="s">
        <v>17</v>
      </c>
      <c r="D22" s="3">
        <v>103.58</v>
      </c>
      <c r="E22" s="2">
        <v>45</v>
      </c>
      <c r="F22" s="2">
        <v>74</v>
      </c>
      <c r="G22" s="2">
        <v>20</v>
      </c>
      <c r="H22" t="str">
        <f t="shared" si="0"/>
        <v>YES</v>
      </c>
      <c r="I22" t="str" cm="1">
        <f t="array" aca="1" ref="I22:J22" ca="1">IF(H22="YES",_xlfn.XLOOKUP(C22,Supplier!$A:$A,Supplier!$C:$D),"")</f>
        <v>Adam.Francis@britgoods.com</v>
      </c>
      <c r="J22">
        <f ca="1"/>
        <v>8707063874</v>
      </c>
    </row>
    <row r="23" spans="1:10" x14ac:dyDescent="0.25">
      <c r="A23" s="2" t="s">
        <v>49</v>
      </c>
      <c r="B23" s="2" t="s">
        <v>34</v>
      </c>
      <c r="C23" s="2" t="s">
        <v>22</v>
      </c>
      <c r="D23" s="3">
        <v>74.89</v>
      </c>
      <c r="E23" s="2">
        <v>98</v>
      </c>
      <c r="F23" s="2">
        <v>63</v>
      </c>
      <c r="G23" s="2">
        <v>9</v>
      </c>
      <c r="H23" t="str">
        <f t="shared" si="0"/>
        <v>NO</v>
      </c>
      <c r="I23" t="str" cm="1">
        <f t="array" ref="I23">IF(H23="YES",_xlfn.XLOOKUP(C23,Supplier!$A:$A,Supplier!$C:$D),"")</f>
        <v/>
      </c>
    </row>
    <row r="24" spans="1:10" x14ac:dyDescent="0.25">
      <c r="A24" s="2" t="s">
        <v>50</v>
      </c>
      <c r="B24" s="2" t="s">
        <v>34</v>
      </c>
      <c r="C24" s="2" t="s">
        <v>25</v>
      </c>
      <c r="D24" s="3">
        <v>51.57</v>
      </c>
      <c r="E24" s="2">
        <v>191</v>
      </c>
      <c r="F24" s="2">
        <v>25</v>
      </c>
      <c r="G24" s="2">
        <v>19</v>
      </c>
      <c r="H24" t="str">
        <f t="shared" si="0"/>
        <v>NO</v>
      </c>
      <c r="I24" t="str" cm="1">
        <f t="array" ref="I24">IF(H24="YES",_xlfn.XLOOKUP(C24,Supplier!$A:$A,Supplier!$C:$D),"")</f>
        <v/>
      </c>
    </row>
    <row r="25" spans="1:10" x14ac:dyDescent="0.25">
      <c r="A25" s="2" t="s">
        <v>51</v>
      </c>
      <c r="B25" s="2" t="s">
        <v>24</v>
      </c>
      <c r="C25" s="2" t="s">
        <v>27</v>
      </c>
      <c r="D25" s="3">
        <v>106.52</v>
      </c>
      <c r="E25" s="2">
        <v>246</v>
      </c>
      <c r="F25" s="2">
        <v>54</v>
      </c>
      <c r="G25" s="2">
        <v>15</v>
      </c>
      <c r="H25" t="str">
        <f t="shared" si="0"/>
        <v>NO</v>
      </c>
      <c r="I25" t="str" cm="1">
        <f t="array" ref="I25">IF(H25="YES",_xlfn.XLOOKUP(C25,Supplier!$A:$A,Supplier!$C:$D),"")</f>
        <v/>
      </c>
    </row>
    <row r="26" spans="1:10" x14ac:dyDescent="0.25">
      <c r="A26" s="2" t="s">
        <v>52</v>
      </c>
      <c r="B26" s="2" t="s">
        <v>30</v>
      </c>
      <c r="C26" s="2" t="s">
        <v>25</v>
      </c>
      <c r="D26" s="3">
        <v>57.04</v>
      </c>
      <c r="E26" s="2">
        <v>63</v>
      </c>
      <c r="F26" s="2">
        <v>47</v>
      </c>
      <c r="G26" s="2">
        <v>20</v>
      </c>
      <c r="H26" t="str">
        <f t="shared" si="0"/>
        <v>NO</v>
      </c>
      <c r="I26" t="str" cm="1">
        <f t="array" ref="I26">IF(H26="YES",_xlfn.XLOOKUP(C26,Supplier!$A:$A,Supplier!$C:$D),"")</f>
        <v/>
      </c>
    </row>
    <row r="27" spans="1:10" x14ac:dyDescent="0.25">
      <c r="A27" s="2" t="s">
        <v>53</v>
      </c>
      <c r="B27" s="2" t="s">
        <v>16</v>
      </c>
      <c r="C27" s="2" t="s">
        <v>27</v>
      </c>
      <c r="D27" s="3">
        <v>4.59</v>
      </c>
      <c r="E27" s="2">
        <v>19</v>
      </c>
      <c r="F27" s="2">
        <v>32</v>
      </c>
      <c r="G27" s="2">
        <v>7</v>
      </c>
      <c r="H27" t="str">
        <f t="shared" si="0"/>
        <v>YES</v>
      </c>
      <c r="I27" t="str" cm="1">
        <f t="array" aca="1" ref="I27:J27" ca="1">IF(H27="YES",_xlfn.XLOOKUP(C27,Supplier!$A:$A,Supplier!$C:$D),"")</f>
        <v>Fia.Ghazal@northtech.com</v>
      </c>
      <c r="J27">
        <f ca="1"/>
        <v>8496059877</v>
      </c>
    </row>
    <row r="28" spans="1:10" x14ac:dyDescent="0.25">
      <c r="A28" s="2" t="s">
        <v>54</v>
      </c>
      <c r="B28" s="2" t="s">
        <v>30</v>
      </c>
      <c r="C28" s="2" t="s">
        <v>17</v>
      </c>
      <c r="D28" s="3">
        <v>108.46</v>
      </c>
      <c r="E28" s="2">
        <v>183</v>
      </c>
      <c r="F28" s="2">
        <v>58</v>
      </c>
      <c r="G28" s="2">
        <v>7</v>
      </c>
      <c r="H28" t="str">
        <f t="shared" si="0"/>
        <v>NO</v>
      </c>
      <c r="I28" t="str" cm="1">
        <f t="array" ref="I28">IF(H28="YES",_xlfn.XLOOKUP(C28,Supplier!$A:$A,Supplier!$C:$D),"")</f>
        <v/>
      </c>
    </row>
    <row r="29" spans="1:10" x14ac:dyDescent="0.25">
      <c r="A29" s="2" t="s">
        <v>55</v>
      </c>
      <c r="B29" s="2" t="s">
        <v>32</v>
      </c>
      <c r="C29" s="2" t="s">
        <v>22</v>
      </c>
      <c r="D29" s="3">
        <v>102.58</v>
      </c>
      <c r="E29" s="2">
        <v>187</v>
      </c>
      <c r="F29" s="2">
        <v>34</v>
      </c>
      <c r="G29" s="2">
        <v>14</v>
      </c>
      <c r="H29" t="str">
        <f t="shared" si="0"/>
        <v>NO</v>
      </c>
      <c r="I29" t="str" cm="1">
        <f t="array" ref="I29">IF(H29="YES",_xlfn.XLOOKUP(C29,Supplier!$A:$A,Supplier!$C:$D),"")</f>
        <v/>
      </c>
    </row>
    <row r="30" spans="1:10" x14ac:dyDescent="0.25">
      <c r="A30" s="2" t="s">
        <v>56</v>
      </c>
      <c r="B30" s="2" t="s">
        <v>30</v>
      </c>
      <c r="C30" s="2" t="s">
        <v>25</v>
      </c>
      <c r="D30" s="3">
        <v>89.64</v>
      </c>
      <c r="E30" s="2">
        <v>186</v>
      </c>
      <c r="F30" s="2">
        <v>74</v>
      </c>
      <c r="G30" s="2">
        <v>5</v>
      </c>
      <c r="H30" t="str">
        <f t="shared" si="0"/>
        <v>NO</v>
      </c>
      <c r="I30" t="str" cm="1">
        <f t="array" ref="I30">IF(H30="YES",_xlfn.XLOOKUP(C30,Supplier!$A:$A,Supplier!$C:$D),"")</f>
        <v/>
      </c>
    </row>
    <row r="31" spans="1:10" x14ac:dyDescent="0.25">
      <c r="A31" s="2" t="s">
        <v>57</v>
      </c>
      <c r="B31" s="2" t="s">
        <v>21</v>
      </c>
      <c r="C31" s="2" t="s">
        <v>44</v>
      </c>
      <c r="D31" s="3">
        <v>86.3</v>
      </c>
      <c r="E31" s="2">
        <v>195</v>
      </c>
      <c r="F31" s="2">
        <v>67</v>
      </c>
      <c r="G31" s="2">
        <v>3</v>
      </c>
      <c r="H31" t="str">
        <f t="shared" si="0"/>
        <v>NO</v>
      </c>
      <c r="I31" t="str" cm="1">
        <f t="array" ref="I31">IF(H31="YES",_xlfn.XLOOKUP(C31,Supplier!$A:$A,Supplier!$C:$D),"")</f>
        <v/>
      </c>
    </row>
    <row r="32" spans="1:10" x14ac:dyDescent="0.25">
      <c r="A32" s="2" t="s">
        <v>58</v>
      </c>
      <c r="B32" s="2" t="s">
        <v>19</v>
      </c>
      <c r="C32" s="2" t="s">
        <v>25</v>
      </c>
      <c r="D32" s="3">
        <v>61.44</v>
      </c>
      <c r="E32" s="2">
        <v>24</v>
      </c>
      <c r="F32" s="2">
        <v>61</v>
      </c>
      <c r="G32" s="2">
        <v>4</v>
      </c>
      <c r="H32" t="str">
        <f t="shared" si="0"/>
        <v>YES</v>
      </c>
      <c r="I32" t="str" cm="1">
        <f t="array" aca="1" ref="I32:J32" ca="1">IF(H32="YES",_xlfn.XLOOKUP(C32,Supplier!$A:$A,Supplier!$C:$D),"")</f>
        <v>Rana.Dubey@union.com</v>
      </c>
      <c r="J32">
        <f ca="1"/>
        <v>8164557242</v>
      </c>
    </row>
    <row r="33" spans="1:10" x14ac:dyDescent="0.25">
      <c r="A33" s="2" t="s">
        <v>59</v>
      </c>
      <c r="B33" s="2" t="s">
        <v>19</v>
      </c>
      <c r="C33" s="2" t="s">
        <v>44</v>
      </c>
      <c r="D33" s="3">
        <v>99.85</v>
      </c>
      <c r="E33" s="2">
        <v>42</v>
      </c>
      <c r="F33" s="2">
        <v>20</v>
      </c>
      <c r="G33" s="2">
        <v>20</v>
      </c>
      <c r="H33" t="str">
        <f t="shared" si="0"/>
        <v>NO</v>
      </c>
      <c r="I33" t="str" cm="1">
        <f t="array" ref="I33">IF(H33="YES",_xlfn.XLOOKUP(C33,Supplier!$A:$A,Supplier!$C:$D),"")</f>
        <v/>
      </c>
    </row>
    <row r="34" spans="1:10" x14ac:dyDescent="0.25">
      <c r="A34" s="2" t="s">
        <v>60</v>
      </c>
      <c r="B34" s="2" t="s">
        <v>32</v>
      </c>
      <c r="C34" s="2" t="s">
        <v>44</v>
      </c>
      <c r="D34" s="3">
        <v>33.07</v>
      </c>
      <c r="E34" s="2">
        <v>19</v>
      </c>
      <c r="F34" s="2">
        <v>59</v>
      </c>
      <c r="G34" s="2">
        <v>7</v>
      </c>
      <c r="H34" t="str">
        <f t="shared" si="0"/>
        <v>YES</v>
      </c>
      <c r="I34" t="str" cm="1">
        <f t="array" aca="1" ref="I34:J34" ca="1">IF(H34="YES",_xlfn.XLOOKUP(C34,Supplier!$A:$A,Supplier!$C:$D),"")</f>
        <v>Connor.Diabolic@westfield.com</v>
      </c>
      <c r="J34">
        <f ca="1"/>
        <v>7078282595</v>
      </c>
    </row>
    <row r="35" spans="1:10" x14ac:dyDescent="0.25">
      <c r="A35" s="2" t="s">
        <v>61</v>
      </c>
      <c r="B35" s="2" t="s">
        <v>21</v>
      </c>
      <c r="C35" s="2" t="s">
        <v>22</v>
      </c>
      <c r="D35" s="3">
        <v>55.85</v>
      </c>
      <c r="E35" s="2">
        <v>104</v>
      </c>
      <c r="F35" s="2">
        <v>27</v>
      </c>
      <c r="G35" s="2">
        <v>17</v>
      </c>
      <c r="H35" t="str">
        <f t="shared" si="0"/>
        <v>NO</v>
      </c>
      <c r="I35" t="str" cm="1">
        <f t="array" ref="I35">IF(H35="YES",_xlfn.XLOOKUP(C35,Supplier!$A:$A,Supplier!$C:$D),"")</f>
        <v/>
      </c>
    </row>
    <row r="36" spans="1:10" x14ac:dyDescent="0.25">
      <c r="A36" s="2" t="s">
        <v>62</v>
      </c>
      <c r="B36" s="2" t="s">
        <v>32</v>
      </c>
      <c r="C36" s="2" t="s">
        <v>44</v>
      </c>
      <c r="D36" s="3">
        <v>116.53</v>
      </c>
      <c r="E36" s="2">
        <v>107</v>
      </c>
      <c r="F36" s="2">
        <v>57</v>
      </c>
      <c r="G36" s="2">
        <v>20</v>
      </c>
      <c r="H36" t="str">
        <f t="shared" si="0"/>
        <v>NO</v>
      </c>
      <c r="I36" t="str" cm="1">
        <f t="array" ref="I36">IF(H36="YES",_xlfn.XLOOKUP(C36,Supplier!$A:$A,Supplier!$C:$D),"")</f>
        <v/>
      </c>
    </row>
    <row r="37" spans="1:10" x14ac:dyDescent="0.25">
      <c r="A37" s="2" t="s">
        <v>63</v>
      </c>
      <c r="B37" s="2" t="s">
        <v>34</v>
      </c>
      <c r="C37" s="2" t="s">
        <v>22</v>
      </c>
      <c r="D37" s="3">
        <v>84.52</v>
      </c>
      <c r="E37" s="2">
        <v>89</v>
      </c>
      <c r="F37" s="2">
        <v>62</v>
      </c>
      <c r="G37" s="2">
        <v>18</v>
      </c>
      <c r="H37" t="str">
        <f t="shared" si="0"/>
        <v>NO</v>
      </c>
      <c r="I37" t="str" cm="1">
        <f t="array" ref="I37">IF(H37="YES",_xlfn.XLOOKUP(C37,Supplier!$A:$A,Supplier!$C:$D),"")</f>
        <v/>
      </c>
    </row>
    <row r="38" spans="1:10" x14ac:dyDescent="0.25">
      <c r="A38" s="2" t="s">
        <v>64</v>
      </c>
      <c r="B38" s="2" t="s">
        <v>30</v>
      </c>
      <c r="C38" s="2" t="s">
        <v>27</v>
      </c>
      <c r="D38" s="3">
        <v>118.92</v>
      </c>
      <c r="E38" s="2">
        <v>210</v>
      </c>
      <c r="F38" s="2">
        <v>66</v>
      </c>
      <c r="G38" s="2">
        <v>7</v>
      </c>
      <c r="H38" t="str">
        <f t="shared" si="0"/>
        <v>NO</v>
      </c>
      <c r="I38" t="str" cm="1">
        <f t="array" ref="I38">IF(H38="YES",_xlfn.XLOOKUP(C38,Supplier!$A:$A,Supplier!$C:$D),"")</f>
        <v/>
      </c>
    </row>
    <row r="39" spans="1:10" x14ac:dyDescent="0.25">
      <c r="A39" s="2" t="s">
        <v>65</v>
      </c>
      <c r="B39" s="2" t="s">
        <v>19</v>
      </c>
      <c r="C39" s="2" t="s">
        <v>25</v>
      </c>
      <c r="D39" s="3">
        <v>47.08</v>
      </c>
      <c r="E39" s="2">
        <v>244</v>
      </c>
      <c r="F39" s="2">
        <v>72</v>
      </c>
      <c r="G39" s="2">
        <v>15</v>
      </c>
      <c r="H39" t="str">
        <f t="shared" si="0"/>
        <v>NO</v>
      </c>
      <c r="I39" t="str" cm="1">
        <f t="array" ref="I39">IF(H39="YES",_xlfn.XLOOKUP(C39,Supplier!$A:$A,Supplier!$C:$D),"")</f>
        <v/>
      </c>
    </row>
    <row r="40" spans="1:10" x14ac:dyDescent="0.25">
      <c r="A40" s="2" t="s">
        <v>66</v>
      </c>
      <c r="B40" s="2" t="s">
        <v>19</v>
      </c>
      <c r="C40" s="2" t="s">
        <v>17</v>
      </c>
      <c r="D40" s="3">
        <v>75.14</v>
      </c>
      <c r="E40" s="2">
        <v>90</v>
      </c>
      <c r="F40" s="2">
        <v>56</v>
      </c>
      <c r="G40" s="2">
        <v>6</v>
      </c>
      <c r="H40" t="str">
        <f t="shared" si="0"/>
        <v>NO</v>
      </c>
      <c r="I40" t="str" cm="1">
        <f t="array" ref="I40">IF(H40="YES",_xlfn.XLOOKUP(C40,Supplier!$A:$A,Supplier!$C:$D),"")</f>
        <v/>
      </c>
    </row>
    <row r="41" spans="1:10" x14ac:dyDescent="0.25">
      <c r="A41" s="2" t="s">
        <v>67</v>
      </c>
      <c r="B41" s="2" t="s">
        <v>30</v>
      </c>
      <c r="C41" s="2" t="s">
        <v>44</v>
      </c>
      <c r="D41" s="3">
        <v>56.27</v>
      </c>
      <c r="E41" s="2">
        <v>78</v>
      </c>
      <c r="F41" s="2">
        <v>59</v>
      </c>
      <c r="G41" s="2">
        <v>19</v>
      </c>
      <c r="H41" t="str">
        <f t="shared" si="0"/>
        <v>NO</v>
      </c>
      <c r="I41" t="str" cm="1">
        <f t="array" ref="I41">IF(H41="YES",_xlfn.XLOOKUP(C41,Supplier!$A:$A,Supplier!$C:$D),"")</f>
        <v/>
      </c>
    </row>
  </sheetData>
  <conditionalFormatting sqref="H2:H41">
    <cfRule type="cellIs" dxfId="1" priority="1" operator="equal">
      <formula>"YES"</formula>
    </cfRule>
  </conditionalFormatting>
  <conditionalFormatting sqref="H1:J1 H42:H1048576">
    <cfRule type="expression" dxfId="0" priority="2">
      <formula>$E$2&lt;=$F$2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2C38-EFA4-4C0A-BFA4-25D0E324A40F}">
  <dimension ref="A1:D6"/>
  <sheetViews>
    <sheetView workbookViewId="0">
      <selection activeCell="D2" sqref="D2"/>
    </sheetView>
  </sheetViews>
  <sheetFormatPr defaultRowHeight="15" x14ac:dyDescent="0.25"/>
  <cols>
    <col min="1" max="1" width="20.85546875" style="4" bestFit="1" customWidth="1"/>
    <col min="2" max="2" width="15.140625" style="4" bestFit="1" customWidth="1"/>
    <col min="3" max="3" width="30.42578125" style="4" bestFit="1" customWidth="1"/>
    <col min="4" max="4" width="11" style="4" bestFit="1" customWidth="1"/>
  </cols>
  <sheetData>
    <row r="1" spans="1:4" x14ac:dyDescent="0.25">
      <c r="A1" s="4" t="s">
        <v>10</v>
      </c>
      <c r="B1" s="4" t="s">
        <v>69</v>
      </c>
      <c r="C1" s="4" t="s">
        <v>70</v>
      </c>
      <c r="D1" s="4" t="s">
        <v>71</v>
      </c>
    </row>
    <row r="2" spans="1:4" x14ac:dyDescent="0.25">
      <c r="A2" s="4" t="s">
        <v>17</v>
      </c>
      <c r="B2" s="4" t="s">
        <v>72</v>
      </c>
      <c r="C2" s="5" t="s">
        <v>77</v>
      </c>
      <c r="D2" s="4">
        <f ca="1">RANDBETWEEN(1000000000,9999999999)</f>
        <v>8707063874</v>
      </c>
    </row>
    <row r="3" spans="1:4" x14ac:dyDescent="0.25">
      <c r="A3" s="4" t="s">
        <v>22</v>
      </c>
      <c r="B3" s="4" t="s">
        <v>73</v>
      </c>
      <c r="C3" s="5" t="s">
        <v>78</v>
      </c>
      <c r="D3" s="4">
        <f t="shared" ref="D3:D6" ca="1" si="0">RANDBETWEEN(1000000000,9999999999)</f>
        <v>8487915906</v>
      </c>
    </row>
    <row r="4" spans="1:4" x14ac:dyDescent="0.25">
      <c r="A4" s="4" t="s">
        <v>25</v>
      </c>
      <c r="B4" s="4" t="s">
        <v>74</v>
      </c>
      <c r="C4" s="5" t="s">
        <v>79</v>
      </c>
      <c r="D4" s="4">
        <f t="shared" ca="1" si="0"/>
        <v>8164557242</v>
      </c>
    </row>
    <row r="5" spans="1:4" x14ac:dyDescent="0.25">
      <c r="A5" s="4" t="s">
        <v>27</v>
      </c>
      <c r="B5" s="4" t="s">
        <v>75</v>
      </c>
      <c r="C5" s="5" t="s">
        <v>80</v>
      </c>
      <c r="D5" s="4">
        <f t="shared" ca="1" si="0"/>
        <v>8496059877</v>
      </c>
    </row>
    <row r="6" spans="1:4" x14ac:dyDescent="0.25">
      <c r="A6" s="4" t="s">
        <v>44</v>
      </c>
      <c r="B6" s="4" t="s">
        <v>76</v>
      </c>
      <c r="C6" s="5" t="s">
        <v>81</v>
      </c>
      <c r="D6" s="4">
        <f t="shared" ca="1" si="0"/>
        <v>7078282595</v>
      </c>
    </row>
  </sheetData>
  <hyperlinks>
    <hyperlink ref="C2" r:id="rId1" xr:uid="{5AF4C9FB-7170-4A4A-8FAA-2DFB7F3DB6A0}"/>
    <hyperlink ref="C3" r:id="rId2" xr:uid="{0AB0A0A8-6243-44C1-B804-CCE6881C983E}"/>
    <hyperlink ref="C4" r:id="rId3" xr:uid="{756A8DEE-BBC6-4B0E-BA15-A24310454EA6}"/>
    <hyperlink ref="C5" r:id="rId4" xr:uid="{341B531C-8D95-4D11-B031-E9476697428C}"/>
    <hyperlink ref="C6" r:id="rId5" xr:uid="{9D09809C-19E1-4757-AE9E-002F8A1887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3E81-0831-4D29-A306-79796E78BA77}">
  <dimension ref="A1:K12"/>
  <sheetViews>
    <sheetView workbookViewId="0">
      <selection activeCell="K2" sqref="K2"/>
    </sheetView>
  </sheetViews>
  <sheetFormatPr defaultRowHeight="15" x14ac:dyDescent="0.25"/>
  <cols>
    <col min="1" max="1" width="10.140625" style="2" bestFit="1" customWidth="1"/>
    <col min="2" max="2" width="14.28515625" style="2" bestFit="1" customWidth="1"/>
    <col min="3" max="3" width="20.85546875" style="2" bestFit="1" customWidth="1"/>
    <col min="4" max="4" width="12" style="8" bestFit="1" customWidth="1"/>
    <col min="5" max="5" width="14" style="2" bestFit="1" customWidth="1"/>
    <col min="6" max="6" width="13.42578125" style="2" bestFit="1" customWidth="1"/>
    <col min="7" max="7" width="11.7109375" style="2" bestFit="1" customWidth="1"/>
    <col min="8" max="8" width="18.5703125" style="2" bestFit="1" customWidth="1"/>
    <col min="9" max="9" width="28" bestFit="1" customWidth="1"/>
    <col min="10" max="10" width="11" bestFit="1" customWidth="1"/>
    <col min="11" max="11" width="16.7109375" style="10" bestFit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7" t="s">
        <v>11</v>
      </c>
      <c r="E1" s="1" t="s">
        <v>12</v>
      </c>
      <c r="F1" s="1" t="s">
        <v>13</v>
      </c>
      <c r="G1" s="6" t="s">
        <v>84</v>
      </c>
      <c r="H1" s="6" t="s">
        <v>85</v>
      </c>
      <c r="I1" s="6" t="s">
        <v>86</v>
      </c>
      <c r="J1" s="6" t="s">
        <v>83</v>
      </c>
      <c r="K1" s="9" t="s">
        <v>87</v>
      </c>
    </row>
    <row r="2" spans="1:11" x14ac:dyDescent="0.25">
      <c r="A2" s="2" t="str" cm="1">
        <f t="array" ref="A2:F12">_xlfn._xlws.FILTER(Inventory!A2:F41,Inventory!H2:H41="YES")</f>
        <v>SKU203</v>
      </c>
      <c r="B2" s="2" t="str">
        <v>Thermal Jacket</v>
      </c>
      <c r="C2" s="2" t="str">
        <v>Union Parts</v>
      </c>
      <c r="D2" s="8">
        <v>78.17</v>
      </c>
      <c r="E2" s="2">
        <v>72</v>
      </c>
      <c r="F2" s="2">
        <v>80</v>
      </c>
      <c r="G2" s="2">
        <f>F2*2</f>
        <v>160</v>
      </c>
      <c r="H2" s="2">
        <f>MAX(G2-E2,0)</f>
        <v>88</v>
      </c>
      <c r="I2" t="str" cm="1">
        <f t="array" aca="1" ref="I2:J2" ca="1">_xlfn.XLOOKUP(C2,Supplier!$A:$A,Supplier!$C:$D)</f>
        <v>Rana.Dubey@union.com</v>
      </c>
      <c r="J2">
        <f ca="1"/>
        <v>8164557242</v>
      </c>
      <c r="K2" s="10">
        <f>D2*H2</f>
        <v>6878.96</v>
      </c>
    </row>
    <row r="3" spans="1:11" x14ac:dyDescent="0.25">
      <c r="A3" s="2" t="str">
        <v>SKU205</v>
      </c>
      <c r="B3" s="2" t="str">
        <v>Desk Lamp</v>
      </c>
      <c r="C3" s="2" t="str">
        <v>BritGoods Ltd</v>
      </c>
      <c r="D3" s="8">
        <v>17.41</v>
      </c>
      <c r="E3" s="2">
        <v>36</v>
      </c>
      <c r="F3" s="2">
        <v>65</v>
      </c>
      <c r="G3" s="2">
        <f t="shared" ref="G3:G12" si="0">F3*2</f>
        <v>130</v>
      </c>
      <c r="H3" s="2">
        <f t="shared" ref="H3:H12" si="1">MAX(G3-E3,0)</f>
        <v>94</v>
      </c>
      <c r="I3" t="str" cm="1">
        <f t="array" aca="1" ref="I3:J3" ca="1">_xlfn.XLOOKUP(C3,Supplier!$A:$A,Supplier!$C:$D)</f>
        <v>Adam.Francis@britgoods.com</v>
      </c>
      <c r="J3">
        <f ca="1"/>
        <v>8707063874</v>
      </c>
      <c r="K3" s="10">
        <f t="shared" ref="K3:K12" si="2">D3*H3</f>
        <v>1636.54</v>
      </c>
    </row>
    <row r="4" spans="1:11" x14ac:dyDescent="0.25">
      <c r="A4" s="2" t="str">
        <v>SKU213</v>
      </c>
      <c r="B4" s="2" t="str">
        <v>X-Phone Case</v>
      </c>
      <c r="C4" s="2" t="str">
        <v>BritGoods Ltd</v>
      </c>
      <c r="D4" s="8">
        <v>86.07</v>
      </c>
      <c r="E4" s="2">
        <v>15</v>
      </c>
      <c r="F4" s="2">
        <v>20</v>
      </c>
      <c r="G4" s="2">
        <f t="shared" si="0"/>
        <v>40</v>
      </c>
      <c r="H4" s="2">
        <f t="shared" si="1"/>
        <v>25</v>
      </c>
      <c r="I4" t="str" cm="1">
        <f t="array" aca="1" ref="I4:J4" ca="1">_xlfn.XLOOKUP(C4,Supplier!$A:$A,Supplier!$C:$D)</f>
        <v>Adam.Francis@britgoods.com</v>
      </c>
      <c r="J4">
        <f ca="1"/>
        <v>8707063874</v>
      </c>
      <c r="K4" s="10">
        <f t="shared" si="2"/>
        <v>2151.75</v>
      </c>
    </row>
    <row r="5" spans="1:11" x14ac:dyDescent="0.25">
      <c r="A5" s="2" t="str">
        <v>SKU214</v>
      </c>
      <c r="B5" s="2" t="str">
        <v>LED Monitor</v>
      </c>
      <c r="C5" s="2" t="str">
        <v>BritGoods Ltd</v>
      </c>
      <c r="D5" s="8">
        <v>66.78</v>
      </c>
      <c r="E5" s="2">
        <v>49</v>
      </c>
      <c r="F5" s="2">
        <v>54</v>
      </c>
      <c r="G5" s="2">
        <f t="shared" si="0"/>
        <v>108</v>
      </c>
      <c r="H5" s="2">
        <f t="shared" si="1"/>
        <v>59</v>
      </c>
      <c r="I5" t="str" cm="1">
        <f t="array" aca="1" ref="I5:J5" ca="1">_xlfn.XLOOKUP(C5,Supplier!$A:$A,Supplier!$C:$D)</f>
        <v>Adam.Francis@britgoods.com</v>
      </c>
      <c r="J5">
        <f ca="1"/>
        <v>8707063874</v>
      </c>
      <c r="K5" s="10">
        <f t="shared" si="2"/>
        <v>3940.02</v>
      </c>
    </row>
    <row r="6" spans="1:11" x14ac:dyDescent="0.25">
      <c r="A6" s="2" t="str">
        <v>SKU217</v>
      </c>
      <c r="B6" s="2" t="str">
        <v>X-Phone Case</v>
      </c>
      <c r="C6" s="2" t="str">
        <v>Westfield Distributors</v>
      </c>
      <c r="D6" s="8">
        <v>68.39</v>
      </c>
      <c r="E6" s="2">
        <v>41</v>
      </c>
      <c r="F6" s="2">
        <v>79</v>
      </c>
      <c r="G6" s="2">
        <f t="shared" si="0"/>
        <v>158</v>
      </c>
      <c r="H6" s="2">
        <f t="shared" si="1"/>
        <v>117</v>
      </c>
      <c r="I6" t="str" cm="1">
        <f t="array" aca="1" ref="I6:J6" ca="1">_xlfn.XLOOKUP(C6,Supplier!$A:$A,Supplier!$C:$D)</f>
        <v>Connor.Diabolic@westfield.com</v>
      </c>
      <c r="J6">
        <f ca="1"/>
        <v>7078282595</v>
      </c>
      <c r="K6" s="10">
        <f t="shared" si="2"/>
        <v>8001.63</v>
      </c>
    </row>
    <row r="7" spans="1:11" x14ac:dyDescent="0.25">
      <c r="A7" s="2" t="str">
        <v>SKU218</v>
      </c>
      <c r="B7" s="2" t="str">
        <v>Oak Desk</v>
      </c>
      <c r="C7" s="2" t="str">
        <v>Crown Suppliers</v>
      </c>
      <c r="D7" s="8">
        <v>93.12</v>
      </c>
      <c r="E7" s="2">
        <v>15</v>
      </c>
      <c r="F7" s="2">
        <v>23</v>
      </c>
      <c r="G7" s="2">
        <f t="shared" si="0"/>
        <v>46</v>
      </c>
      <c r="H7" s="2">
        <f t="shared" si="1"/>
        <v>31</v>
      </c>
      <c r="I7" t="str" cm="1">
        <f t="array" aca="1" ref="I7:J7" ca="1">_xlfn.XLOOKUP(C7,Supplier!$A:$A,Supplier!$C:$D)</f>
        <v>Tia.McMillian@crown.com</v>
      </c>
      <c r="J7">
        <f ca="1"/>
        <v>8487915906</v>
      </c>
      <c r="K7" s="10">
        <f t="shared" si="2"/>
        <v>2886.7200000000003</v>
      </c>
    </row>
    <row r="8" spans="1:11" x14ac:dyDescent="0.25">
      <c r="A8" s="2" t="str">
        <v>SKU219</v>
      </c>
      <c r="B8" s="2" t="str">
        <v>Cotton Shirt</v>
      </c>
      <c r="C8" s="2" t="str">
        <v>Crown Suppliers</v>
      </c>
      <c r="D8" s="8">
        <v>85.06</v>
      </c>
      <c r="E8" s="2">
        <v>41</v>
      </c>
      <c r="F8" s="2">
        <v>72</v>
      </c>
      <c r="G8" s="2">
        <f t="shared" si="0"/>
        <v>144</v>
      </c>
      <c r="H8" s="2">
        <f t="shared" si="1"/>
        <v>103</v>
      </c>
      <c r="I8" t="str" cm="1">
        <f t="array" aca="1" ref="I8:J8" ca="1">_xlfn.XLOOKUP(C8,Supplier!$A:$A,Supplier!$C:$D)</f>
        <v>Tia.McMillian@crown.com</v>
      </c>
      <c r="J8">
        <f ca="1"/>
        <v>8487915906</v>
      </c>
      <c r="K8" s="10">
        <f t="shared" si="2"/>
        <v>8761.18</v>
      </c>
    </row>
    <row r="9" spans="1:11" x14ac:dyDescent="0.25">
      <c r="A9" s="2" t="str">
        <v>SKU220</v>
      </c>
      <c r="B9" s="2" t="str">
        <v>Cotton Shirt</v>
      </c>
      <c r="C9" s="2" t="str">
        <v>BritGoods Ltd</v>
      </c>
      <c r="D9" s="8">
        <v>103.58</v>
      </c>
      <c r="E9" s="2">
        <v>45</v>
      </c>
      <c r="F9" s="2">
        <v>74</v>
      </c>
      <c r="G9" s="2">
        <f t="shared" si="0"/>
        <v>148</v>
      </c>
      <c r="H9" s="2">
        <f t="shared" si="1"/>
        <v>103</v>
      </c>
      <c r="I9" t="str" cm="1">
        <f t="array" aca="1" ref="I9:J9" ca="1">_xlfn.XLOOKUP(C9,Supplier!$A:$A,Supplier!$C:$D)</f>
        <v>Adam.Francis@britgoods.com</v>
      </c>
      <c r="J9">
        <f ca="1"/>
        <v>8707063874</v>
      </c>
      <c r="K9" s="10">
        <f t="shared" si="2"/>
        <v>10668.74</v>
      </c>
    </row>
    <row r="10" spans="1:11" x14ac:dyDescent="0.25">
      <c r="A10" s="2" t="str">
        <v>SKU225</v>
      </c>
      <c r="B10" s="2" t="str">
        <v>Desk Lamp</v>
      </c>
      <c r="C10" s="2" t="str">
        <v>NorthTech Supplies</v>
      </c>
      <c r="D10" s="8">
        <v>4.59</v>
      </c>
      <c r="E10" s="2">
        <v>19</v>
      </c>
      <c r="F10" s="2">
        <v>32</v>
      </c>
      <c r="G10" s="2">
        <f t="shared" si="0"/>
        <v>64</v>
      </c>
      <c r="H10" s="2">
        <f t="shared" si="1"/>
        <v>45</v>
      </c>
      <c r="I10" t="str" cm="1">
        <f t="array" aca="1" ref="I10:J10" ca="1">_xlfn.XLOOKUP(C10,Supplier!$A:$A,Supplier!$C:$D)</f>
        <v>Fia.Ghazal@northtech.com</v>
      </c>
      <c r="J10">
        <f ca="1"/>
        <v>8496059877</v>
      </c>
      <c r="K10" s="10">
        <f t="shared" si="2"/>
        <v>206.54999999999998</v>
      </c>
    </row>
    <row r="11" spans="1:11" x14ac:dyDescent="0.25">
      <c r="A11" s="2" t="str">
        <v>SKU230</v>
      </c>
      <c r="B11" s="2" t="str">
        <v>Cotton Shirt</v>
      </c>
      <c r="C11" s="2" t="str">
        <v>Union Parts</v>
      </c>
      <c r="D11" s="8">
        <v>61.44</v>
      </c>
      <c r="E11" s="2">
        <v>24</v>
      </c>
      <c r="F11" s="2">
        <v>61</v>
      </c>
      <c r="G11" s="2">
        <f t="shared" si="0"/>
        <v>122</v>
      </c>
      <c r="H11" s="2">
        <f t="shared" si="1"/>
        <v>98</v>
      </c>
      <c r="I11" t="str" cm="1">
        <f t="array" aca="1" ref="I11:J11" ca="1">_xlfn.XLOOKUP(C11,Supplier!$A:$A,Supplier!$C:$D)</f>
        <v>Rana.Dubey@union.com</v>
      </c>
      <c r="J11">
        <f ca="1"/>
        <v>8164557242</v>
      </c>
      <c r="K11" s="10">
        <f t="shared" si="2"/>
        <v>6021.12</v>
      </c>
    </row>
    <row r="12" spans="1:11" x14ac:dyDescent="0.25">
      <c r="A12" s="2" t="str">
        <v>SKU232</v>
      </c>
      <c r="B12" s="2" t="str">
        <v>Ergo Chair</v>
      </c>
      <c r="C12" s="2" t="str">
        <v>Westfield Distributors</v>
      </c>
      <c r="D12" s="8">
        <v>33.07</v>
      </c>
      <c r="E12" s="2">
        <v>19</v>
      </c>
      <c r="F12" s="2">
        <v>59</v>
      </c>
      <c r="G12" s="2">
        <f t="shared" si="0"/>
        <v>118</v>
      </c>
      <c r="H12" s="2">
        <f t="shared" si="1"/>
        <v>99</v>
      </c>
      <c r="I12" t="str" cm="1">
        <f t="array" aca="1" ref="I12:J12" ca="1">_xlfn.XLOOKUP(C12,Supplier!$A:$A,Supplier!$C:$D)</f>
        <v>Connor.Diabolic@westfield.com</v>
      </c>
      <c r="J12">
        <f ca="1"/>
        <v>7078282595</v>
      </c>
      <c r="K12" s="10">
        <f t="shared" si="2"/>
        <v>3273.93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DE42-2521-487A-8354-008DC38089A0}">
  <dimension ref="A1:I22"/>
  <sheetViews>
    <sheetView topLeftCell="C1" workbookViewId="0">
      <selection activeCell="D13" sqref="D13"/>
    </sheetView>
  </sheetViews>
  <sheetFormatPr defaultRowHeight="15" x14ac:dyDescent="0.25"/>
  <cols>
    <col min="1" max="3" width="20.7109375" bestFit="1" customWidth="1"/>
    <col min="4" max="4" width="20.85546875" bestFit="1" customWidth="1"/>
    <col min="5" max="5" width="26.42578125" bestFit="1" customWidth="1"/>
    <col min="7" max="7" width="16.140625" bestFit="1" customWidth="1"/>
    <col min="8" max="8" width="18" bestFit="1" customWidth="1"/>
    <col min="9" max="9" width="20.140625" bestFit="1" customWidth="1"/>
  </cols>
  <sheetData>
    <row r="1" spans="1:9" x14ac:dyDescent="0.25">
      <c r="A1" t="s">
        <v>90</v>
      </c>
      <c r="D1" s="11" t="s">
        <v>88</v>
      </c>
      <c r="E1" t="s">
        <v>91</v>
      </c>
      <c r="G1" s="11" t="s">
        <v>88</v>
      </c>
      <c r="H1" t="s">
        <v>92</v>
      </c>
    </row>
    <row r="2" spans="1:9" x14ac:dyDescent="0.25">
      <c r="A2" s="13">
        <v>40</v>
      </c>
      <c r="D2" s="12" t="s">
        <v>19</v>
      </c>
      <c r="E2" s="13">
        <v>864</v>
      </c>
      <c r="G2" s="12" t="s">
        <v>19</v>
      </c>
      <c r="H2" s="13">
        <v>3</v>
      </c>
    </row>
    <row r="3" spans="1:9" x14ac:dyDescent="0.25">
      <c r="D3" s="12" t="s">
        <v>16</v>
      </c>
      <c r="E3" s="13">
        <v>412</v>
      </c>
      <c r="G3" s="12" t="s">
        <v>16</v>
      </c>
      <c r="H3" s="13">
        <v>2</v>
      </c>
    </row>
    <row r="4" spans="1:9" x14ac:dyDescent="0.25">
      <c r="A4" t="s">
        <v>96</v>
      </c>
      <c r="B4">
        <f>GETPIVOTDATA("Item Code",$A$1)</f>
        <v>40</v>
      </c>
      <c r="D4" s="12" t="s">
        <v>32</v>
      </c>
      <c r="E4" s="13">
        <v>676</v>
      </c>
      <c r="G4" s="12" t="s">
        <v>32</v>
      </c>
      <c r="H4" s="13">
        <v>1</v>
      </c>
    </row>
    <row r="5" spans="1:9" x14ac:dyDescent="0.25">
      <c r="A5" t="s">
        <v>97</v>
      </c>
      <c r="B5">
        <f>COUNTIF(Inventory!H:H,"YES")</f>
        <v>11</v>
      </c>
      <c r="C5" s="13"/>
      <c r="D5" s="12" t="s">
        <v>34</v>
      </c>
      <c r="E5" s="13">
        <v>712</v>
      </c>
      <c r="G5" s="12" t="s">
        <v>34</v>
      </c>
      <c r="H5" s="13">
        <v>1</v>
      </c>
    </row>
    <row r="6" spans="1:9" x14ac:dyDescent="0.25">
      <c r="A6" t="s">
        <v>98</v>
      </c>
      <c r="B6">
        <f>COUNTIF(Inventory!E:E,0)</f>
        <v>0</v>
      </c>
      <c r="D6" s="12" t="s">
        <v>30</v>
      </c>
      <c r="E6" s="13">
        <v>916</v>
      </c>
      <c r="G6" s="12" t="s">
        <v>30</v>
      </c>
      <c r="H6" s="13">
        <v>1</v>
      </c>
    </row>
    <row r="7" spans="1:9" x14ac:dyDescent="0.25">
      <c r="A7" t="s">
        <v>99</v>
      </c>
      <c r="B7" s="14">
        <f>AVERAGE(Inventory!G:G)</f>
        <v>13.5</v>
      </c>
      <c r="D7" s="12" t="s">
        <v>24</v>
      </c>
      <c r="E7" s="13">
        <v>318</v>
      </c>
      <c r="G7" s="12" t="s">
        <v>24</v>
      </c>
      <c r="H7" s="13">
        <v>1</v>
      </c>
    </row>
    <row r="8" spans="1:9" x14ac:dyDescent="0.25">
      <c r="A8" t="s">
        <v>100</v>
      </c>
      <c r="B8" s="15">
        <f>GETPIVOTDATA("Total Order Value",'Pivot Table Reorder'!$A$3)</f>
        <v>54427.14</v>
      </c>
      <c r="D8" s="12" t="s">
        <v>21</v>
      </c>
      <c r="E8" s="13">
        <v>511</v>
      </c>
      <c r="G8" s="12" t="s">
        <v>39</v>
      </c>
      <c r="H8" s="13">
        <v>2</v>
      </c>
    </row>
    <row r="9" spans="1:9" x14ac:dyDescent="0.25">
      <c r="D9" s="12" t="s">
        <v>39</v>
      </c>
      <c r="E9" s="13">
        <v>166</v>
      </c>
      <c r="G9" s="12" t="s">
        <v>89</v>
      </c>
      <c r="H9" s="13">
        <v>11</v>
      </c>
    </row>
    <row r="10" spans="1:9" x14ac:dyDescent="0.25">
      <c r="D10" s="12" t="s">
        <v>89</v>
      </c>
      <c r="E10" s="13">
        <v>4575</v>
      </c>
    </row>
    <row r="13" spans="1:9" x14ac:dyDescent="0.25">
      <c r="D13" s="11" t="s">
        <v>88</v>
      </c>
      <c r="E13" t="s">
        <v>94</v>
      </c>
      <c r="G13" s="11" t="s">
        <v>88</v>
      </c>
      <c r="H13" t="s">
        <v>91</v>
      </c>
      <c r="I13" t="s">
        <v>95</v>
      </c>
    </row>
    <row r="14" spans="1:9" x14ac:dyDescent="0.25">
      <c r="D14" s="12" t="s">
        <v>17</v>
      </c>
      <c r="E14" s="14">
        <v>13.2</v>
      </c>
      <c r="G14" s="12" t="s">
        <v>19</v>
      </c>
      <c r="H14" s="13">
        <v>864</v>
      </c>
      <c r="I14" s="13">
        <v>492</v>
      </c>
    </row>
    <row r="15" spans="1:9" x14ac:dyDescent="0.25">
      <c r="D15" s="12" t="s">
        <v>22</v>
      </c>
      <c r="E15" s="14">
        <v>15.25</v>
      </c>
      <c r="G15" s="12" t="s">
        <v>16</v>
      </c>
      <c r="H15" s="13">
        <v>412</v>
      </c>
      <c r="I15" s="13">
        <v>145</v>
      </c>
    </row>
    <row r="16" spans="1:9" x14ac:dyDescent="0.25">
      <c r="D16" s="12" t="s">
        <v>27</v>
      </c>
      <c r="E16" s="14">
        <v>12.555555555555555</v>
      </c>
      <c r="G16" s="12" t="s">
        <v>32</v>
      </c>
      <c r="H16" s="13">
        <v>676</v>
      </c>
      <c r="I16" s="13">
        <v>261</v>
      </c>
    </row>
    <row r="17" spans="4:9" x14ac:dyDescent="0.25">
      <c r="D17" s="12" t="s">
        <v>25</v>
      </c>
      <c r="E17" s="14">
        <v>13</v>
      </c>
      <c r="G17" s="12" t="s">
        <v>34</v>
      </c>
      <c r="H17" s="13">
        <v>712</v>
      </c>
      <c r="I17" s="13">
        <v>306</v>
      </c>
    </row>
    <row r="18" spans="4:9" x14ac:dyDescent="0.25">
      <c r="D18" s="12" t="s">
        <v>44</v>
      </c>
      <c r="E18" s="14">
        <v>13.571428571428571</v>
      </c>
      <c r="G18" s="12" t="s">
        <v>30</v>
      </c>
      <c r="H18" s="13">
        <v>916</v>
      </c>
      <c r="I18" s="13">
        <v>425</v>
      </c>
    </row>
    <row r="19" spans="4:9" x14ac:dyDescent="0.25">
      <c r="D19" s="12" t="s">
        <v>89</v>
      </c>
      <c r="E19" s="14">
        <v>13.5</v>
      </c>
      <c r="G19" s="12" t="s">
        <v>24</v>
      </c>
      <c r="H19" s="13">
        <v>318</v>
      </c>
      <c r="I19" s="13">
        <v>134</v>
      </c>
    </row>
    <row r="20" spans="4:9" x14ac:dyDescent="0.25">
      <c r="G20" s="12" t="s">
        <v>21</v>
      </c>
      <c r="H20" s="13">
        <v>511</v>
      </c>
      <c r="I20" s="13">
        <v>134</v>
      </c>
    </row>
    <row r="21" spans="4:9" x14ac:dyDescent="0.25">
      <c r="G21" s="12" t="s">
        <v>39</v>
      </c>
      <c r="H21" s="13">
        <v>166</v>
      </c>
      <c r="I21" s="13">
        <v>146</v>
      </c>
    </row>
    <row r="22" spans="4:9" x14ac:dyDescent="0.25">
      <c r="G22" s="12" t="s">
        <v>89</v>
      </c>
      <c r="H22" s="13">
        <v>4575</v>
      </c>
      <c r="I22" s="13">
        <v>2043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E456-686B-4588-BCCC-1115C79817E6}">
  <dimension ref="A3:E11"/>
  <sheetViews>
    <sheetView workbookViewId="0">
      <selection activeCell="H10" sqref="H10"/>
    </sheetView>
  </sheetViews>
  <sheetFormatPr defaultRowHeight="15" x14ac:dyDescent="0.25"/>
  <cols>
    <col min="1" max="1" width="14.28515625" bestFit="1" customWidth="1"/>
    <col min="2" max="2" width="23.5703125" bestFit="1" customWidth="1"/>
    <col min="4" max="4" width="20.85546875" bestFit="1" customWidth="1"/>
    <col min="5" max="5" width="23.5703125" bestFit="1" customWidth="1"/>
  </cols>
  <sheetData>
    <row r="3" spans="1:5" x14ac:dyDescent="0.25">
      <c r="A3" s="11" t="s">
        <v>88</v>
      </c>
      <c r="B3" t="s">
        <v>93</v>
      </c>
      <c r="D3" s="11" t="s">
        <v>88</v>
      </c>
      <c r="E3" t="s">
        <v>93</v>
      </c>
    </row>
    <row r="4" spans="1:5" x14ac:dyDescent="0.25">
      <c r="A4" s="12" t="s">
        <v>19</v>
      </c>
      <c r="B4" s="10">
        <v>25451.039999999997</v>
      </c>
      <c r="D4" s="12" t="s">
        <v>17</v>
      </c>
      <c r="E4" s="10">
        <v>18397.05</v>
      </c>
    </row>
    <row r="5" spans="1:5" x14ac:dyDescent="0.25">
      <c r="A5" s="12" t="s">
        <v>16</v>
      </c>
      <c r="B5" s="10">
        <v>1843.09</v>
      </c>
      <c r="D5" s="12" t="s">
        <v>22</v>
      </c>
      <c r="E5" s="10">
        <v>11647.900000000001</v>
      </c>
    </row>
    <row r="6" spans="1:5" x14ac:dyDescent="0.25">
      <c r="A6" s="12" t="s">
        <v>32</v>
      </c>
      <c r="B6" s="10">
        <v>3273.93</v>
      </c>
      <c r="D6" s="12" t="s">
        <v>27</v>
      </c>
      <c r="E6" s="10">
        <v>206.54999999999998</v>
      </c>
    </row>
    <row r="7" spans="1:5" x14ac:dyDescent="0.25">
      <c r="A7" s="12" t="s">
        <v>34</v>
      </c>
      <c r="B7" s="10">
        <v>3940.02</v>
      </c>
      <c r="D7" s="12" t="s">
        <v>25</v>
      </c>
      <c r="E7" s="10">
        <v>12900.08</v>
      </c>
    </row>
    <row r="8" spans="1:5" x14ac:dyDescent="0.25">
      <c r="A8" s="12" t="s">
        <v>30</v>
      </c>
      <c r="B8" s="10">
        <v>2886.7200000000003</v>
      </c>
      <c r="D8" s="12" t="s">
        <v>44</v>
      </c>
      <c r="E8" s="10">
        <v>11275.56</v>
      </c>
    </row>
    <row r="9" spans="1:5" x14ac:dyDescent="0.25">
      <c r="A9" s="12" t="s">
        <v>24</v>
      </c>
      <c r="B9" s="10">
        <v>6878.96</v>
      </c>
      <c r="D9" s="12" t="s">
        <v>89</v>
      </c>
      <c r="E9" s="10">
        <v>54427.14</v>
      </c>
    </row>
    <row r="10" spans="1:5" x14ac:dyDescent="0.25">
      <c r="A10" s="12" t="s">
        <v>39</v>
      </c>
      <c r="B10" s="10">
        <v>10153.380000000001</v>
      </c>
    </row>
    <row r="11" spans="1:5" x14ac:dyDescent="0.25">
      <c r="A11" s="12" t="s">
        <v>89</v>
      </c>
      <c r="B11" s="10">
        <v>54427.14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EFF6-721E-46EF-B38F-0537AE1E9187}">
  <dimension ref="A1"/>
  <sheetViews>
    <sheetView tabSelected="1" topLeftCell="A2" workbookViewId="0">
      <selection activeCell="U16" sqref="U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Inventory</vt:lpstr>
      <vt:lpstr>Supplier</vt:lpstr>
      <vt:lpstr>Reorder Report</vt:lpstr>
      <vt:lpstr>PivotTable Inventory</vt:lpstr>
      <vt:lpstr>Pivot Table Reorder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hashsham.abid1992@outlook.com</cp:lastModifiedBy>
  <dcterms:created xsi:type="dcterms:W3CDTF">2025-10-15T14:55:09Z</dcterms:created>
  <dcterms:modified xsi:type="dcterms:W3CDTF">2025-12-06T23:07:40Z</dcterms:modified>
</cp:coreProperties>
</file>